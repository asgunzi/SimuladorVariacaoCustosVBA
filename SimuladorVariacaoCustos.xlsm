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45" windowWidth="20115" windowHeight="9525"/>
  </bookViews>
  <sheets>
    <sheet name="Simulador" sheetId="1" r:id="rId1"/>
  </sheets>
  <calcPr calcId="145621"/>
</workbook>
</file>

<file path=xl/calcChain.xml><?xml version="1.0" encoding="utf-8"?>
<calcChain xmlns="http://schemas.openxmlformats.org/spreadsheetml/2006/main">
  <c r="K5" i="1" l="1"/>
  <c r="K4" i="1"/>
  <c r="X5" i="1" l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Y5" i="1"/>
  <c r="Z5" i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  <c r="Z201" i="1" s="1"/>
  <c r="Z202" i="1" s="1"/>
  <c r="Z203" i="1" s="1"/>
  <c r="Z204" i="1" s="1"/>
  <c r="Y6" i="1" l="1"/>
  <c r="Y7" i="1" s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N4" i="1"/>
</calcChain>
</file>

<file path=xl/sharedStrings.xml><?xml version="1.0" encoding="utf-8"?>
<sst xmlns="http://schemas.openxmlformats.org/spreadsheetml/2006/main" count="24" uniqueCount="24">
  <si>
    <t>Item</t>
  </si>
  <si>
    <t>Média</t>
  </si>
  <si>
    <t>Resultados</t>
  </si>
  <si>
    <t>Item 1</t>
  </si>
  <si>
    <t>Item 2</t>
  </si>
  <si>
    <t>Item 3</t>
  </si>
  <si>
    <t>Item 4</t>
  </si>
  <si>
    <t>Item 5</t>
  </si>
  <si>
    <t>Item 6</t>
  </si>
  <si>
    <t>Trial</t>
  </si>
  <si>
    <t>Desv. Pad</t>
  </si>
  <si>
    <t>Média total</t>
  </si>
  <si>
    <t>Med + desv</t>
  </si>
  <si>
    <t>Med - desv</t>
  </si>
  <si>
    <t>Preço Total Simulado</t>
  </si>
  <si>
    <t>Item 7</t>
  </si>
  <si>
    <t>Item 8</t>
  </si>
  <si>
    <t>Item 9</t>
  </si>
  <si>
    <t>Item 10</t>
  </si>
  <si>
    <t>% entre desvios</t>
  </si>
  <si>
    <t>Simulador de Variação de Custos</t>
  </si>
  <si>
    <t>Custo Mínimo</t>
  </si>
  <si>
    <t>Custo Médio</t>
  </si>
  <si>
    <t>Custo Máximo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</si>
</sst>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943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0" fontId="3" fillId="0" borderId="0" xfId="0" applyFont="1"/>
    <xf numFmtId="0" fontId="4" fillId="0" borderId="0" xfId="0" applyFont="1"/>
    <xf numFmtId="4" fontId="0" fillId="0" borderId="0" xfId="0" applyNumberFormat="1"/>
    <xf numFmtId="3" fontId="0" fillId="0" borderId="5" xfId="0" applyNumberFormat="1" applyBorder="1" applyAlignment="1">
      <alignment horizontal="center" vertical="center"/>
    </xf>
    <xf numFmtId="3" fontId="0" fillId="0" borderId="0" xfId="0" applyNumberFormat="1"/>
    <xf numFmtId="9" fontId="0" fillId="0" borderId="5" xfId="0" applyNumberFormat="1" applyBorder="1" applyAlignment="1">
      <alignment horizontal="center" vertical="center"/>
    </xf>
  </cellXfs>
  <cellStyles count="2">
    <cellStyle name="Normal" xfId="0" builtinId="0"/>
    <cellStyle name="Normal 5 9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Simulação da Distribuição</a:t>
            </a:r>
            <a:r>
              <a:rPr lang="pt-BR" baseline="0"/>
              <a:t> de </a:t>
            </a:r>
            <a:r>
              <a:rPr lang="pt-BR"/>
              <a:t>Custos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Simulador!$W$4</c:f>
              <c:strCache>
                <c:ptCount val="1"/>
                <c:pt idx="0">
                  <c:v>Preço Total Simulado</c:v>
                </c:pt>
              </c:strCache>
            </c:strRef>
          </c:tx>
          <c:marker>
            <c:symbol val="none"/>
          </c:marker>
          <c:val>
            <c:numRef>
              <c:f>Simulador!$W$5:$W$204</c:f>
              <c:numCache>
                <c:formatCode>#,##0.00</c:formatCode>
                <c:ptCount val="200"/>
                <c:pt idx="0">
                  <c:v>363.46341995369312</c:v>
                </c:pt>
                <c:pt idx="1">
                  <c:v>362.20866032973373</c:v>
                </c:pt>
                <c:pt idx="2">
                  <c:v>362.82323763314849</c:v>
                </c:pt>
                <c:pt idx="3">
                  <c:v>366.34298608202232</c:v>
                </c:pt>
                <c:pt idx="4">
                  <c:v>355.04211060594878</c:v>
                </c:pt>
                <c:pt idx="5">
                  <c:v>375.41696979901394</c:v>
                </c:pt>
                <c:pt idx="6">
                  <c:v>363.86133309556703</c:v>
                </c:pt>
                <c:pt idx="7">
                  <c:v>362.64277050314365</c:v>
                </c:pt>
                <c:pt idx="8">
                  <c:v>370.54938511743586</c:v>
                </c:pt>
                <c:pt idx="9">
                  <c:v>368.07735389629045</c:v>
                </c:pt>
                <c:pt idx="10">
                  <c:v>348.85583508098978</c:v>
                </c:pt>
                <c:pt idx="11">
                  <c:v>358.54728712522439</c:v>
                </c:pt>
                <c:pt idx="12">
                  <c:v>352.04757325708107</c:v>
                </c:pt>
                <c:pt idx="13">
                  <c:v>367.02960224309624</c:v>
                </c:pt>
                <c:pt idx="14">
                  <c:v>352.90975533254885</c:v>
                </c:pt>
                <c:pt idx="15">
                  <c:v>360.79442176970673</c:v>
                </c:pt>
                <c:pt idx="16">
                  <c:v>359.9511974335249</c:v>
                </c:pt>
                <c:pt idx="17">
                  <c:v>366.72176860485683</c:v>
                </c:pt>
                <c:pt idx="18">
                  <c:v>364.57601166870711</c:v>
                </c:pt>
                <c:pt idx="19">
                  <c:v>362.75467719822882</c:v>
                </c:pt>
                <c:pt idx="20">
                  <c:v>364.46292071064681</c:v>
                </c:pt>
                <c:pt idx="21">
                  <c:v>378.02418211938232</c:v>
                </c:pt>
                <c:pt idx="22">
                  <c:v>370.92024452559718</c:v>
                </c:pt>
                <c:pt idx="23">
                  <c:v>365.85676875726017</c:v>
                </c:pt>
                <c:pt idx="24">
                  <c:v>362.85787040839864</c:v>
                </c:pt>
                <c:pt idx="25">
                  <c:v>363.72464421157451</c:v>
                </c:pt>
                <c:pt idx="26">
                  <c:v>365.38377949348404</c:v>
                </c:pt>
                <c:pt idx="27">
                  <c:v>363.31526381174928</c:v>
                </c:pt>
                <c:pt idx="28">
                  <c:v>378.27119409806994</c:v>
                </c:pt>
                <c:pt idx="29">
                  <c:v>370.29233951759966</c:v>
                </c:pt>
                <c:pt idx="30">
                  <c:v>353.48427075478736</c:v>
                </c:pt>
                <c:pt idx="31">
                  <c:v>364.47070156579042</c:v>
                </c:pt>
                <c:pt idx="32">
                  <c:v>375.61146740110587</c:v>
                </c:pt>
                <c:pt idx="33">
                  <c:v>376.79643111205968</c:v>
                </c:pt>
                <c:pt idx="34">
                  <c:v>358.76985260447617</c:v>
                </c:pt>
                <c:pt idx="35">
                  <c:v>355.88072939067672</c:v>
                </c:pt>
                <c:pt idx="36">
                  <c:v>372.66674635016818</c:v>
                </c:pt>
                <c:pt idx="37">
                  <c:v>373.95854221080435</c:v>
                </c:pt>
                <c:pt idx="38">
                  <c:v>362.23279570784428</c:v>
                </c:pt>
                <c:pt idx="39">
                  <c:v>365.0071584635989</c:v>
                </c:pt>
                <c:pt idx="40">
                  <c:v>360.52865544241092</c:v>
                </c:pt>
                <c:pt idx="41">
                  <c:v>371.16403592003769</c:v>
                </c:pt>
                <c:pt idx="42">
                  <c:v>373.66247736017806</c:v>
                </c:pt>
                <c:pt idx="43">
                  <c:v>354.14087081893177</c:v>
                </c:pt>
                <c:pt idx="44">
                  <c:v>371.27345006018589</c:v>
                </c:pt>
                <c:pt idx="45">
                  <c:v>372.4121432966158</c:v>
                </c:pt>
                <c:pt idx="46">
                  <c:v>363.68849199522549</c:v>
                </c:pt>
                <c:pt idx="47">
                  <c:v>354.71481694329185</c:v>
                </c:pt>
                <c:pt idx="48">
                  <c:v>365.11708169444802</c:v>
                </c:pt>
                <c:pt idx="49">
                  <c:v>367.40503150647794</c:v>
                </c:pt>
                <c:pt idx="50">
                  <c:v>369.65960572327504</c:v>
                </c:pt>
                <c:pt idx="51">
                  <c:v>367.94539511815918</c:v>
                </c:pt>
                <c:pt idx="52">
                  <c:v>367.93911045410346</c:v>
                </c:pt>
                <c:pt idx="53">
                  <c:v>372.34825049679478</c:v>
                </c:pt>
                <c:pt idx="54">
                  <c:v>375.04093290628475</c:v>
                </c:pt>
                <c:pt idx="55">
                  <c:v>349.05403043552025</c:v>
                </c:pt>
                <c:pt idx="56">
                  <c:v>361.64509180306334</c:v>
                </c:pt>
                <c:pt idx="57">
                  <c:v>368.17689673113051</c:v>
                </c:pt>
                <c:pt idx="58">
                  <c:v>367.02760475877369</c:v>
                </c:pt>
                <c:pt idx="59">
                  <c:v>361.66567416298238</c:v>
                </c:pt>
                <c:pt idx="60">
                  <c:v>366.96537019277241</c:v>
                </c:pt>
                <c:pt idx="61">
                  <c:v>375.37676310768319</c:v>
                </c:pt>
                <c:pt idx="62">
                  <c:v>359.97885781779974</c:v>
                </c:pt>
                <c:pt idx="63">
                  <c:v>369.05004399645998</c:v>
                </c:pt>
                <c:pt idx="64">
                  <c:v>371.72015349586314</c:v>
                </c:pt>
                <c:pt idx="65">
                  <c:v>370.48620998869279</c:v>
                </c:pt>
                <c:pt idx="66">
                  <c:v>363.45436053537895</c:v>
                </c:pt>
                <c:pt idx="67">
                  <c:v>367.3891588058039</c:v>
                </c:pt>
                <c:pt idx="68">
                  <c:v>374.78570701687221</c:v>
                </c:pt>
                <c:pt idx="69">
                  <c:v>359.04789350917326</c:v>
                </c:pt>
                <c:pt idx="70">
                  <c:v>354.1178968236901</c:v>
                </c:pt>
                <c:pt idx="71">
                  <c:v>372.70229872041432</c:v>
                </c:pt>
                <c:pt idx="72">
                  <c:v>375.39507449924957</c:v>
                </c:pt>
                <c:pt idx="73">
                  <c:v>356.72982570343288</c:v>
                </c:pt>
                <c:pt idx="74">
                  <c:v>364.13178865914125</c:v>
                </c:pt>
                <c:pt idx="75">
                  <c:v>359.76965534007013</c:v>
                </c:pt>
                <c:pt idx="76">
                  <c:v>365.14493691560125</c:v>
                </c:pt>
                <c:pt idx="77">
                  <c:v>369.90318141913389</c:v>
                </c:pt>
                <c:pt idx="78">
                  <c:v>364.68745159701052</c:v>
                </c:pt>
                <c:pt idx="79">
                  <c:v>366.33846940977293</c:v>
                </c:pt>
                <c:pt idx="80">
                  <c:v>366.31624045271303</c:v>
                </c:pt>
                <c:pt idx="81">
                  <c:v>354.82447025334147</c:v>
                </c:pt>
                <c:pt idx="82">
                  <c:v>371.92184020149597</c:v>
                </c:pt>
                <c:pt idx="83">
                  <c:v>358.46439153234456</c:v>
                </c:pt>
                <c:pt idx="84">
                  <c:v>361.86605004800435</c:v>
                </c:pt>
                <c:pt idx="85">
                  <c:v>365.34775806889206</c:v>
                </c:pt>
                <c:pt idx="86">
                  <c:v>369.04454274614147</c:v>
                </c:pt>
                <c:pt idx="87">
                  <c:v>364.9314166653154</c:v>
                </c:pt>
                <c:pt idx="88">
                  <c:v>351.50933550239483</c:v>
                </c:pt>
                <c:pt idx="89">
                  <c:v>361.68910006679994</c:v>
                </c:pt>
                <c:pt idx="90">
                  <c:v>381.370487426262</c:v>
                </c:pt>
                <c:pt idx="91">
                  <c:v>361.36166223569501</c:v>
                </c:pt>
                <c:pt idx="92">
                  <c:v>368.41941894787021</c:v>
                </c:pt>
                <c:pt idx="93">
                  <c:v>370.8832675690133</c:v>
                </c:pt>
                <c:pt idx="94">
                  <c:v>353.21078533097455</c:v>
                </c:pt>
                <c:pt idx="95">
                  <c:v>364.20841034600636</c:v>
                </c:pt>
                <c:pt idx="96">
                  <c:v>371.8152160524993</c:v>
                </c:pt>
                <c:pt idx="97">
                  <c:v>370.03501244837162</c:v>
                </c:pt>
                <c:pt idx="98">
                  <c:v>348.63649709171523</c:v>
                </c:pt>
                <c:pt idx="99">
                  <c:v>353.02955177582567</c:v>
                </c:pt>
                <c:pt idx="100">
                  <c:v>355.73280167725721</c:v>
                </c:pt>
                <c:pt idx="101">
                  <c:v>350.57415540146519</c:v>
                </c:pt>
                <c:pt idx="102">
                  <c:v>370.62716792636911</c:v>
                </c:pt>
                <c:pt idx="103">
                  <c:v>373.77166431640541</c:v>
                </c:pt>
                <c:pt idx="104">
                  <c:v>366.95471914726335</c:v>
                </c:pt>
                <c:pt idx="105">
                  <c:v>361.99200863944736</c:v>
                </c:pt>
                <c:pt idx="106">
                  <c:v>361.76209157387802</c:v>
                </c:pt>
                <c:pt idx="107">
                  <c:v>370.2957470990404</c:v>
                </c:pt>
                <c:pt idx="108">
                  <c:v>369.03098470998628</c:v>
                </c:pt>
                <c:pt idx="109">
                  <c:v>363.72027971557907</c:v>
                </c:pt>
                <c:pt idx="110">
                  <c:v>366.54167945816585</c:v>
                </c:pt>
                <c:pt idx="111">
                  <c:v>360.69512079159239</c:v>
                </c:pt>
                <c:pt idx="112">
                  <c:v>360.12739984319165</c:v>
                </c:pt>
                <c:pt idx="113">
                  <c:v>362.29519992015088</c:v>
                </c:pt>
                <c:pt idx="114">
                  <c:v>365.27588232627954</c:v>
                </c:pt>
                <c:pt idx="115">
                  <c:v>356.97593910392607</c:v>
                </c:pt>
                <c:pt idx="116">
                  <c:v>359.23407670835957</c:v>
                </c:pt>
                <c:pt idx="117">
                  <c:v>362.30030648259498</c:v>
                </c:pt>
                <c:pt idx="118">
                  <c:v>363.35107127523429</c:v>
                </c:pt>
                <c:pt idx="119">
                  <c:v>356.40464805421078</c:v>
                </c:pt>
                <c:pt idx="120">
                  <c:v>365.4416156552428</c:v>
                </c:pt>
                <c:pt idx="121">
                  <c:v>357.09544363242389</c:v>
                </c:pt>
                <c:pt idx="122">
                  <c:v>360.37941273571045</c:v>
                </c:pt>
                <c:pt idx="123">
                  <c:v>364.06784074046811</c:v>
                </c:pt>
                <c:pt idx="124">
                  <c:v>375.41325753962036</c:v>
                </c:pt>
                <c:pt idx="125">
                  <c:v>373.81757677986599</c:v>
                </c:pt>
                <c:pt idx="126">
                  <c:v>359.46893728166577</c:v>
                </c:pt>
                <c:pt idx="127">
                  <c:v>376.78710104827479</c:v>
                </c:pt>
                <c:pt idx="128">
                  <c:v>362.88984423609094</c:v>
                </c:pt>
                <c:pt idx="129">
                  <c:v>365.51874279722722</c:v>
                </c:pt>
                <c:pt idx="130">
                  <c:v>365.9271858156784</c:v>
                </c:pt>
                <c:pt idx="131">
                  <c:v>365.53748451980226</c:v>
                </c:pt>
                <c:pt idx="132">
                  <c:v>363.01689599130771</c:v>
                </c:pt>
                <c:pt idx="133">
                  <c:v>368.35389582619803</c:v>
                </c:pt>
                <c:pt idx="134">
                  <c:v>365.37871934165724</c:v>
                </c:pt>
                <c:pt idx="135">
                  <c:v>377.28903562995487</c:v>
                </c:pt>
                <c:pt idx="136">
                  <c:v>364.88207894090334</c:v>
                </c:pt>
                <c:pt idx="137">
                  <c:v>375.81609942696861</c:v>
                </c:pt>
                <c:pt idx="138">
                  <c:v>365.4532509648987</c:v>
                </c:pt>
                <c:pt idx="139">
                  <c:v>373.92123801726143</c:v>
                </c:pt>
                <c:pt idx="140">
                  <c:v>373.51713205224047</c:v>
                </c:pt>
                <c:pt idx="141">
                  <c:v>367.48427468226464</c:v>
                </c:pt>
                <c:pt idx="142">
                  <c:v>365.74971215803112</c:v>
                </c:pt>
                <c:pt idx="143">
                  <c:v>361.49007878150189</c:v>
                </c:pt>
                <c:pt idx="144">
                  <c:v>355.25052952040016</c:v>
                </c:pt>
                <c:pt idx="145">
                  <c:v>377.01243633508545</c:v>
                </c:pt>
                <c:pt idx="146">
                  <c:v>358.16850017151222</c:v>
                </c:pt>
                <c:pt idx="147">
                  <c:v>359.38952364309097</c:v>
                </c:pt>
                <c:pt idx="148">
                  <c:v>363.17054633151707</c:v>
                </c:pt>
                <c:pt idx="149">
                  <c:v>375.07529439283542</c:v>
                </c:pt>
                <c:pt idx="150">
                  <c:v>362.94461709770343</c:v>
                </c:pt>
                <c:pt idx="151">
                  <c:v>358.89669013000531</c:v>
                </c:pt>
                <c:pt idx="152">
                  <c:v>353.851031748889</c:v>
                </c:pt>
                <c:pt idx="153">
                  <c:v>371.0942761680808</c:v>
                </c:pt>
                <c:pt idx="154">
                  <c:v>367.20066888916023</c:v>
                </c:pt>
                <c:pt idx="155">
                  <c:v>360.84277496310335</c:v>
                </c:pt>
                <c:pt idx="156">
                  <c:v>358.08181967071232</c:v>
                </c:pt>
                <c:pt idx="157">
                  <c:v>370.94612023461559</c:v>
                </c:pt>
                <c:pt idx="158">
                  <c:v>372.70152429827431</c:v>
                </c:pt>
                <c:pt idx="159">
                  <c:v>370.91697454027428</c:v>
                </c:pt>
                <c:pt idx="160">
                  <c:v>367.79307754241529</c:v>
                </c:pt>
                <c:pt idx="161">
                  <c:v>365.20017845319512</c:v>
                </c:pt>
                <c:pt idx="162">
                  <c:v>368.02211465808745</c:v>
                </c:pt>
                <c:pt idx="163">
                  <c:v>358.83153223589181</c:v>
                </c:pt>
                <c:pt idx="164">
                  <c:v>369.5877419795969</c:v>
                </c:pt>
                <c:pt idx="165">
                  <c:v>355.47286598061766</c:v>
                </c:pt>
                <c:pt idx="166">
                  <c:v>374.43109133912066</c:v>
                </c:pt>
                <c:pt idx="167">
                  <c:v>373.03100432819178</c:v>
                </c:pt>
                <c:pt idx="168">
                  <c:v>361.69462587376216</c:v>
                </c:pt>
                <c:pt idx="169">
                  <c:v>367.52064651591849</c:v>
                </c:pt>
                <c:pt idx="170">
                  <c:v>366.29231434409405</c:v>
                </c:pt>
                <c:pt idx="171">
                  <c:v>364.14180271507911</c:v>
                </c:pt>
                <c:pt idx="172">
                  <c:v>355.41755853861116</c:v>
                </c:pt>
                <c:pt idx="173">
                  <c:v>362.29688560230363</c:v>
                </c:pt>
                <c:pt idx="174">
                  <c:v>358.32154480812852</c:v>
                </c:pt>
                <c:pt idx="175">
                  <c:v>367.74276618560219</c:v>
                </c:pt>
                <c:pt idx="176">
                  <c:v>377.27152439109528</c:v>
                </c:pt>
                <c:pt idx="177">
                  <c:v>362.63731047906913</c:v>
                </c:pt>
                <c:pt idx="178">
                  <c:v>373.69013582428914</c:v>
                </c:pt>
                <c:pt idx="179">
                  <c:v>367.93414309938282</c:v>
                </c:pt>
                <c:pt idx="180">
                  <c:v>379.1105776721692</c:v>
                </c:pt>
                <c:pt idx="181">
                  <c:v>370.28861730841959</c:v>
                </c:pt>
                <c:pt idx="182">
                  <c:v>375.78582213853218</c:v>
                </c:pt>
                <c:pt idx="183">
                  <c:v>358.62728731168113</c:v>
                </c:pt>
                <c:pt idx="184">
                  <c:v>364.068745017585</c:v>
                </c:pt>
                <c:pt idx="185">
                  <c:v>368.12819371662403</c:v>
                </c:pt>
                <c:pt idx="186">
                  <c:v>366.30671254956911</c:v>
                </c:pt>
                <c:pt idx="187">
                  <c:v>356.30254752340136</c:v>
                </c:pt>
                <c:pt idx="188">
                  <c:v>354.33330693627835</c:v>
                </c:pt>
                <c:pt idx="189">
                  <c:v>370.74457999205526</c:v>
                </c:pt>
                <c:pt idx="190">
                  <c:v>374.51771970945936</c:v>
                </c:pt>
                <c:pt idx="191">
                  <c:v>362.41611080738215</c:v>
                </c:pt>
                <c:pt idx="192">
                  <c:v>368.50698000934023</c:v>
                </c:pt>
                <c:pt idx="193">
                  <c:v>372.79089003989156</c:v>
                </c:pt>
                <c:pt idx="194">
                  <c:v>365.13564645478129</c:v>
                </c:pt>
                <c:pt idx="195">
                  <c:v>374.44594603852101</c:v>
                </c:pt>
                <c:pt idx="196">
                  <c:v>358.80574140761479</c:v>
                </c:pt>
                <c:pt idx="197">
                  <c:v>356.69733952970694</c:v>
                </c:pt>
                <c:pt idx="198">
                  <c:v>365.0908643200479</c:v>
                </c:pt>
                <c:pt idx="199">
                  <c:v>371.08780742014204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Simulador!$X$4</c:f>
              <c:strCache>
                <c:ptCount val="1"/>
                <c:pt idx="0">
                  <c:v>Média</c:v>
                </c:pt>
              </c:strCache>
            </c:strRef>
          </c:tx>
          <c:marker>
            <c:symbol val="none"/>
          </c:marker>
          <c:val>
            <c:numRef>
              <c:f>Simulador!$X$5:$X$204</c:f>
              <c:numCache>
                <c:formatCode>#,##0</c:formatCode>
                <c:ptCount val="200"/>
                <c:pt idx="0">
                  <c:v>365.27849943793609</c:v>
                </c:pt>
                <c:pt idx="1">
                  <c:v>365.27849943793609</c:v>
                </c:pt>
                <c:pt idx="2">
                  <c:v>365.27849943793609</c:v>
                </c:pt>
                <c:pt idx="3">
                  <c:v>365.27849943793609</c:v>
                </c:pt>
                <c:pt idx="4">
                  <c:v>365.27849943793609</c:v>
                </c:pt>
                <c:pt idx="5">
                  <c:v>365.27849943793609</c:v>
                </c:pt>
                <c:pt idx="6">
                  <c:v>365.27849943793609</c:v>
                </c:pt>
                <c:pt idx="7">
                  <c:v>365.27849943793609</c:v>
                </c:pt>
                <c:pt idx="8">
                  <c:v>365.27849943793609</c:v>
                </c:pt>
                <c:pt idx="9">
                  <c:v>365.27849943793609</c:v>
                </c:pt>
                <c:pt idx="10">
                  <c:v>365.27849943793609</c:v>
                </c:pt>
                <c:pt idx="11">
                  <c:v>365.27849943793609</c:v>
                </c:pt>
                <c:pt idx="12">
                  <c:v>365.27849943793609</c:v>
                </c:pt>
                <c:pt idx="13">
                  <c:v>365.27849943793609</c:v>
                </c:pt>
                <c:pt idx="14">
                  <c:v>365.27849943793609</c:v>
                </c:pt>
                <c:pt idx="15">
                  <c:v>365.27849943793609</c:v>
                </c:pt>
                <c:pt idx="16">
                  <c:v>365.27849943793609</c:v>
                </c:pt>
                <c:pt idx="17">
                  <c:v>365.27849943793609</c:v>
                </c:pt>
                <c:pt idx="18">
                  <c:v>365.27849943793609</c:v>
                </c:pt>
                <c:pt idx="19">
                  <c:v>365.27849943793609</c:v>
                </c:pt>
                <c:pt idx="20">
                  <c:v>365.27849943793609</c:v>
                </c:pt>
                <c:pt idx="21">
                  <c:v>365.27849943793609</c:v>
                </c:pt>
                <c:pt idx="22">
                  <c:v>365.27849943793609</c:v>
                </c:pt>
                <c:pt idx="23">
                  <c:v>365.27849943793609</c:v>
                </c:pt>
                <c:pt idx="24">
                  <c:v>365.27849943793609</c:v>
                </c:pt>
                <c:pt idx="25">
                  <c:v>365.27849943793609</c:v>
                </c:pt>
                <c:pt idx="26">
                  <c:v>365.27849943793609</c:v>
                </c:pt>
                <c:pt idx="27">
                  <c:v>365.27849943793609</c:v>
                </c:pt>
                <c:pt idx="28">
                  <c:v>365.27849943793609</c:v>
                </c:pt>
                <c:pt idx="29">
                  <c:v>365.27849943793609</c:v>
                </c:pt>
                <c:pt idx="30">
                  <c:v>365.27849943793609</c:v>
                </c:pt>
                <c:pt idx="31">
                  <c:v>365.27849943793609</c:v>
                </c:pt>
                <c:pt idx="32">
                  <c:v>365.27849943793609</c:v>
                </c:pt>
                <c:pt idx="33">
                  <c:v>365.27849943793609</c:v>
                </c:pt>
                <c:pt idx="34">
                  <c:v>365.27849943793609</c:v>
                </c:pt>
                <c:pt idx="35">
                  <c:v>365.27849943793609</c:v>
                </c:pt>
                <c:pt idx="36">
                  <c:v>365.27849943793609</c:v>
                </c:pt>
                <c:pt idx="37">
                  <c:v>365.27849943793609</c:v>
                </c:pt>
                <c:pt idx="38">
                  <c:v>365.27849943793609</c:v>
                </c:pt>
                <c:pt idx="39">
                  <c:v>365.27849943793609</c:v>
                </c:pt>
                <c:pt idx="40">
                  <c:v>365.27849943793609</c:v>
                </c:pt>
                <c:pt idx="41">
                  <c:v>365.27849943793609</c:v>
                </c:pt>
                <c:pt idx="42">
                  <c:v>365.27849943793609</c:v>
                </c:pt>
                <c:pt idx="43">
                  <c:v>365.27849943793609</c:v>
                </c:pt>
                <c:pt idx="44">
                  <c:v>365.27849943793609</c:v>
                </c:pt>
                <c:pt idx="45">
                  <c:v>365.27849943793609</c:v>
                </c:pt>
                <c:pt idx="46">
                  <c:v>365.27849943793609</c:v>
                </c:pt>
                <c:pt idx="47">
                  <c:v>365.27849943793609</c:v>
                </c:pt>
                <c:pt idx="48">
                  <c:v>365.27849943793609</c:v>
                </c:pt>
                <c:pt idx="49">
                  <c:v>365.27849943793609</c:v>
                </c:pt>
                <c:pt idx="50">
                  <c:v>365.27849943793609</c:v>
                </c:pt>
                <c:pt idx="51">
                  <c:v>365.27849943793609</c:v>
                </c:pt>
                <c:pt idx="52">
                  <c:v>365.27849943793609</c:v>
                </c:pt>
                <c:pt idx="53">
                  <c:v>365.27849943793609</c:v>
                </c:pt>
                <c:pt idx="54">
                  <c:v>365.27849943793609</c:v>
                </c:pt>
                <c:pt idx="55">
                  <c:v>365.27849943793609</c:v>
                </c:pt>
                <c:pt idx="56">
                  <c:v>365.27849943793609</c:v>
                </c:pt>
                <c:pt idx="57">
                  <c:v>365.27849943793609</c:v>
                </c:pt>
                <c:pt idx="58">
                  <c:v>365.27849943793609</c:v>
                </c:pt>
                <c:pt idx="59">
                  <c:v>365.27849943793609</c:v>
                </c:pt>
                <c:pt idx="60">
                  <c:v>365.27849943793609</c:v>
                </c:pt>
                <c:pt idx="61">
                  <c:v>365.27849943793609</c:v>
                </c:pt>
                <c:pt idx="62">
                  <c:v>365.27849943793609</c:v>
                </c:pt>
                <c:pt idx="63">
                  <c:v>365.27849943793609</c:v>
                </c:pt>
                <c:pt idx="64">
                  <c:v>365.27849943793609</c:v>
                </c:pt>
                <c:pt idx="65">
                  <c:v>365.27849943793609</c:v>
                </c:pt>
                <c:pt idx="66">
                  <c:v>365.27849943793609</c:v>
                </c:pt>
                <c:pt idx="67">
                  <c:v>365.27849943793609</c:v>
                </c:pt>
                <c:pt idx="68">
                  <c:v>365.27849943793609</c:v>
                </c:pt>
                <c:pt idx="69">
                  <c:v>365.27849943793609</c:v>
                </c:pt>
                <c:pt idx="70">
                  <c:v>365.27849943793609</c:v>
                </c:pt>
                <c:pt idx="71">
                  <c:v>365.27849943793609</c:v>
                </c:pt>
                <c:pt idx="72">
                  <c:v>365.27849943793609</c:v>
                </c:pt>
                <c:pt idx="73">
                  <c:v>365.27849943793609</c:v>
                </c:pt>
                <c:pt idx="74">
                  <c:v>365.27849943793609</c:v>
                </c:pt>
                <c:pt idx="75">
                  <c:v>365.27849943793609</c:v>
                </c:pt>
                <c:pt idx="76">
                  <c:v>365.27849943793609</c:v>
                </c:pt>
                <c:pt idx="77">
                  <c:v>365.27849943793609</c:v>
                </c:pt>
                <c:pt idx="78">
                  <c:v>365.27849943793609</c:v>
                </c:pt>
                <c:pt idx="79">
                  <c:v>365.27849943793609</c:v>
                </c:pt>
                <c:pt idx="80">
                  <c:v>365.27849943793609</c:v>
                </c:pt>
                <c:pt idx="81">
                  <c:v>365.27849943793609</c:v>
                </c:pt>
                <c:pt idx="82">
                  <c:v>365.27849943793609</c:v>
                </c:pt>
                <c:pt idx="83">
                  <c:v>365.27849943793609</c:v>
                </c:pt>
                <c:pt idx="84">
                  <c:v>365.27849943793609</c:v>
                </c:pt>
                <c:pt idx="85">
                  <c:v>365.27849943793609</c:v>
                </c:pt>
                <c:pt idx="86">
                  <c:v>365.27849943793609</c:v>
                </c:pt>
                <c:pt idx="87">
                  <c:v>365.27849943793609</c:v>
                </c:pt>
                <c:pt idx="88">
                  <c:v>365.27849943793609</c:v>
                </c:pt>
                <c:pt idx="89">
                  <c:v>365.27849943793609</c:v>
                </c:pt>
                <c:pt idx="90">
                  <c:v>365.27849943793609</c:v>
                </c:pt>
                <c:pt idx="91">
                  <c:v>365.27849943793609</c:v>
                </c:pt>
                <c:pt idx="92">
                  <c:v>365.27849943793609</c:v>
                </c:pt>
                <c:pt idx="93">
                  <c:v>365.27849943793609</c:v>
                </c:pt>
                <c:pt idx="94">
                  <c:v>365.27849943793609</c:v>
                </c:pt>
                <c:pt idx="95">
                  <c:v>365.27849943793609</c:v>
                </c:pt>
                <c:pt idx="96">
                  <c:v>365.27849943793609</c:v>
                </c:pt>
                <c:pt idx="97">
                  <c:v>365.27849943793609</c:v>
                </c:pt>
                <c:pt idx="98">
                  <c:v>365.27849943793609</c:v>
                </c:pt>
                <c:pt idx="99">
                  <c:v>365.27849943793609</c:v>
                </c:pt>
                <c:pt idx="100">
                  <c:v>365.27849943793609</c:v>
                </c:pt>
                <c:pt idx="101">
                  <c:v>365.27849943793609</c:v>
                </c:pt>
                <c:pt idx="102">
                  <c:v>365.27849943793609</c:v>
                </c:pt>
                <c:pt idx="103">
                  <c:v>365.27849943793609</c:v>
                </c:pt>
                <c:pt idx="104">
                  <c:v>365.27849943793609</c:v>
                </c:pt>
                <c:pt idx="105">
                  <c:v>365.27849943793609</c:v>
                </c:pt>
                <c:pt idx="106">
                  <c:v>365.27849943793609</c:v>
                </c:pt>
                <c:pt idx="107">
                  <c:v>365.27849943793609</c:v>
                </c:pt>
                <c:pt idx="108">
                  <c:v>365.27849943793609</c:v>
                </c:pt>
                <c:pt idx="109">
                  <c:v>365.27849943793609</c:v>
                </c:pt>
                <c:pt idx="110">
                  <c:v>365.27849943793609</c:v>
                </c:pt>
                <c:pt idx="111">
                  <c:v>365.27849943793609</c:v>
                </c:pt>
                <c:pt idx="112">
                  <c:v>365.27849943793609</c:v>
                </c:pt>
                <c:pt idx="113">
                  <c:v>365.27849943793609</c:v>
                </c:pt>
                <c:pt idx="114">
                  <c:v>365.27849943793609</c:v>
                </c:pt>
                <c:pt idx="115">
                  <c:v>365.27849943793609</c:v>
                </c:pt>
                <c:pt idx="116">
                  <c:v>365.27849943793609</c:v>
                </c:pt>
                <c:pt idx="117">
                  <c:v>365.27849943793609</c:v>
                </c:pt>
                <c:pt idx="118">
                  <c:v>365.27849943793609</c:v>
                </c:pt>
                <c:pt idx="119">
                  <c:v>365.27849943793609</c:v>
                </c:pt>
                <c:pt idx="120">
                  <c:v>365.27849943793609</c:v>
                </c:pt>
                <c:pt idx="121">
                  <c:v>365.27849943793609</c:v>
                </c:pt>
                <c:pt idx="122">
                  <c:v>365.27849943793609</c:v>
                </c:pt>
                <c:pt idx="123">
                  <c:v>365.27849943793609</c:v>
                </c:pt>
                <c:pt idx="124">
                  <c:v>365.27849943793609</c:v>
                </c:pt>
                <c:pt idx="125">
                  <c:v>365.27849943793609</c:v>
                </c:pt>
                <c:pt idx="126">
                  <c:v>365.27849943793609</c:v>
                </c:pt>
                <c:pt idx="127">
                  <c:v>365.27849943793609</c:v>
                </c:pt>
                <c:pt idx="128">
                  <c:v>365.27849943793609</c:v>
                </c:pt>
                <c:pt idx="129">
                  <c:v>365.27849943793609</c:v>
                </c:pt>
                <c:pt idx="130">
                  <c:v>365.27849943793609</c:v>
                </c:pt>
                <c:pt idx="131">
                  <c:v>365.27849943793609</c:v>
                </c:pt>
                <c:pt idx="132">
                  <c:v>365.27849943793609</c:v>
                </c:pt>
                <c:pt idx="133">
                  <c:v>365.27849943793609</c:v>
                </c:pt>
                <c:pt idx="134">
                  <c:v>365.27849943793609</c:v>
                </c:pt>
                <c:pt idx="135">
                  <c:v>365.27849943793609</c:v>
                </c:pt>
                <c:pt idx="136">
                  <c:v>365.27849943793609</c:v>
                </c:pt>
                <c:pt idx="137">
                  <c:v>365.27849943793609</c:v>
                </c:pt>
                <c:pt idx="138">
                  <c:v>365.27849943793609</c:v>
                </c:pt>
                <c:pt idx="139">
                  <c:v>365.27849943793609</c:v>
                </c:pt>
                <c:pt idx="140">
                  <c:v>365.27849943793609</c:v>
                </c:pt>
                <c:pt idx="141">
                  <c:v>365.27849943793609</c:v>
                </c:pt>
                <c:pt idx="142">
                  <c:v>365.27849943793609</c:v>
                </c:pt>
                <c:pt idx="143">
                  <c:v>365.27849943793609</c:v>
                </c:pt>
                <c:pt idx="144">
                  <c:v>365.27849943793609</c:v>
                </c:pt>
                <c:pt idx="145">
                  <c:v>365.27849943793609</c:v>
                </c:pt>
                <c:pt idx="146">
                  <c:v>365.27849943793609</c:v>
                </c:pt>
                <c:pt idx="147">
                  <c:v>365.27849943793609</c:v>
                </c:pt>
                <c:pt idx="148">
                  <c:v>365.27849943793609</c:v>
                </c:pt>
                <c:pt idx="149">
                  <c:v>365.27849943793609</c:v>
                </c:pt>
                <c:pt idx="150">
                  <c:v>365.27849943793609</c:v>
                </c:pt>
                <c:pt idx="151">
                  <c:v>365.27849943793609</c:v>
                </c:pt>
                <c:pt idx="152">
                  <c:v>365.27849943793609</c:v>
                </c:pt>
                <c:pt idx="153">
                  <c:v>365.27849943793609</c:v>
                </c:pt>
                <c:pt idx="154">
                  <c:v>365.27849943793609</c:v>
                </c:pt>
                <c:pt idx="155">
                  <c:v>365.27849943793609</c:v>
                </c:pt>
                <c:pt idx="156">
                  <c:v>365.27849943793609</c:v>
                </c:pt>
                <c:pt idx="157">
                  <c:v>365.27849943793609</c:v>
                </c:pt>
                <c:pt idx="158">
                  <c:v>365.27849943793609</c:v>
                </c:pt>
                <c:pt idx="159">
                  <c:v>365.27849943793609</c:v>
                </c:pt>
                <c:pt idx="160">
                  <c:v>365.27849943793609</c:v>
                </c:pt>
                <c:pt idx="161">
                  <c:v>365.27849943793609</c:v>
                </c:pt>
                <c:pt idx="162">
                  <c:v>365.27849943793609</c:v>
                </c:pt>
                <c:pt idx="163">
                  <c:v>365.27849943793609</c:v>
                </c:pt>
                <c:pt idx="164">
                  <c:v>365.27849943793609</c:v>
                </c:pt>
                <c:pt idx="165">
                  <c:v>365.27849943793609</c:v>
                </c:pt>
                <c:pt idx="166">
                  <c:v>365.27849943793609</c:v>
                </c:pt>
                <c:pt idx="167">
                  <c:v>365.27849943793609</c:v>
                </c:pt>
                <c:pt idx="168">
                  <c:v>365.27849943793609</c:v>
                </c:pt>
                <c:pt idx="169">
                  <c:v>365.27849943793609</c:v>
                </c:pt>
                <c:pt idx="170">
                  <c:v>365.27849943793609</c:v>
                </c:pt>
                <c:pt idx="171">
                  <c:v>365.27849943793609</c:v>
                </c:pt>
                <c:pt idx="172">
                  <c:v>365.27849943793609</c:v>
                </c:pt>
                <c:pt idx="173">
                  <c:v>365.27849943793609</c:v>
                </c:pt>
                <c:pt idx="174">
                  <c:v>365.27849943793609</c:v>
                </c:pt>
                <c:pt idx="175">
                  <c:v>365.27849943793609</c:v>
                </c:pt>
                <c:pt idx="176">
                  <c:v>365.27849943793609</c:v>
                </c:pt>
                <c:pt idx="177">
                  <c:v>365.27849943793609</c:v>
                </c:pt>
                <c:pt idx="178">
                  <c:v>365.27849943793609</c:v>
                </c:pt>
                <c:pt idx="179">
                  <c:v>365.27849943793609</c:v>
                </c:pt>
                <c:pt idx="180">
                  <c:v>365.27849943793609</c:v>
                </c:pt>
                <c:pt idx="181">
                  <c:v>365.27849943793609</c:v>
                </c:pt>
                <c:pt idx="182">
                  <c:v>365.27849943793609</c:v>
                </c:pt>
                <c:pt idx="183">
                  <c:v>365.27849943793609</c:v>
                </c:pt>
                <c:pt idx="184">
                  <c:v>365.27849943793609</c:v>
                </c:pt>
                <c:pt idx="185">
                  <c:v>365.27849943793609</c:v>
                </c:pt>
                <c:pt idx="186">
                  <c:v>365.27849943793609</c:v>
                </c:pt>
                <c:pt idx="187">
                  <c:v>365.27849943793609</c:v>
                </c:pt>
                <c:pt idx="188">
                  <c:v>365.27849943793609</c:v>
                </c:pt>
                <c:pt idx="189">
                  <c:v>365.27849943793609</c:v>
                </c:pt>
                <c:pt idx="190">
                  <c:v>365.27849943793609</c:v>
                </c:pt>
                <c:pt idx="191">
                  <c:v>365.27849943793609</c:v>
                </c:pt>
                <c:pt idx="192">
                  <c:v>365.27849943793609</c:v>
                </c:pt>
                <c:pt idx="193">
                  <c:v>365.27849943793609</c:v>
                </c:pt>
                <c:pt idx="194">
                  <c:v>365.27849943793609</c:v>
                </c:pt>
                <c:pt idx="195">
                  <c:v>365.27849943793609</c:v>
                </c:pt>
                <c:pt idx="196">
                  <c:v>365.27849943793609</c:v>
                </c:pt>
                <c:pt idx="197">
                  <c:v>365.27849943793609</c:v>
                </c:pt>
                <c:pt idx="198">
                  <c:v>365.27849943793609</c:v>
                </c:pt>
                <c:pt idx="199">
                  <c:v>365.27849943793609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Simulador!$Y$4</c:f>
              <c:strCache>
                <c:ptCount val="1"/>
                <c:pt idx="0">
                  <c:v>Med - desv</c:v>
                </c:pt>
              </c:strCache>
            </c:strRef>
          </c:tx>
          <c:marker>
            <c:symbol val="none"/>
          </c:marker>
          <c:val>
            <c:numRef>
              <c:f>Simulador!$Y$5:$Y$204</c:f>
              <c:numCache>
                <c:formatCode>#,##0</c:formatCode>
                <c:ptCount val="200"/>
                <c:pt idx="0">
                  <c:v>358.45326248260756</c:v>
                </c:pt>
                <c:pt idx="1">
                  <c:v>358.45326248260756</c:v>
                </c:pt>
                <c:pt idx="2">
                  <c:v>358.45326248260756</c:v>
                </c:pt>
                <c:pt idx="3">
                  <c:v>358.45326248260756</c:v>
                </c:pt>
                <c:pt idx="4">
                  <c:v>358.45326248260756</c:v>
                </c:pt>
                <c:pt idx="5">
                  <c:v>358.45326248260756</c:v>
                </c:pt>
                <c:pt idx="6">
                  <c:v>358.45326248260756</c:v>
                </c:pt>
                <c:pt idx="7">
                  <c:v>358.45326248260756</c:v>
                </c:pt>
                <c:pt idx="8">
                  <c:v>358.45326248260756</c:v>
                </c:pt>
                <c:pt idx="9">
                  <c:v>358.45326248260756</c:v>
                </c:pt>
                <c:pt idx="10">
                  <c:v>358.45326248260756</c:v>
                </c:pt>
                <c:pt idx="11">
                  <c:v>358.45326248260756</c:v>
                </c:pt>
                <c:pt idx="12">
                  <c:v>358.45326248260756</c:v>
                </c:pt>
                <c:pt idx="13">
                  <c:v>358.45326248260756</c:v>
                </c:pt>
                <c:pt idx="14">
                  <c:v>358.45326248260756</c:v>
                </c:pt>
                <c:pt idx="15">
                  <c:v>358.45326248260756</c:v>
                </c:pt>
                <c:pt idx="16">
                  <c:v>358.45326248260756</c:v>
                </c:pt>
                <c:pt idx="17">
                  <c:v>358.45326248260756</c:v>
                </c:pt>
                <c:pt idx="18">
                  <c:v>358.45326248260756</c:v>
                </c:pt>
                <c:pt idx="19">
                  <c:v>358.45326248260756</c:v>
                </c:pt>
                <c:pt idx="20">
                  <c:v>358.45326248260756</c:v>
                </c:pt>
                <c:pt idx="21">
                  <c:v>358.45326248260756</c:v>
                </c:pt>
                <c:pt idx="22">
                  <c:v>358.45326248260756</c:v>
                </c:pt>
                <c:pt idx="23">
                  <c:v>358.45326248260756</c:v>
                </c:pt>
                <c:pt idx="24">
                  <c:v>358.45326248260756</c:v>
                </c:pt>
                <c:pt idx="25">
                  <c:v>358.45326248260756</c:v>
                </c:pt>
                <c:pt idx="26">
                  <c:v>358.45326248260756</c:v>
                </c:pt>
                <c:pt idx="27">
                  <c:v>358.45326248260756</c:v>
                </c:pt>
                <c:pt idx="28">
                  <c:v>358.45326248260756</c:v>
                </c:pt>
                <c:pt idx="29">
                  <c:v>358.45326248260756</c:v>
                </c:pt>
                <c:pt idx="30">
                  <c:v>358.45326248260756</c:v>
                </c:pt>
                <c:pt idx="31">
                  <c:v>358.45326248260756</c:v>
                </c:pt>
                <c:pt idx="32">
                  <c:v>358.45326248260756</c:v>
                </c:pt>
                <c:pt idx="33">
                  <c:v>358.45326248260756</c:v>
                </c:pt>
                <c:pt idx="34">
                  <c:v>358.45326248260756</c:v>
                </c:pt>
                <c:pt idx="35">
                  <c:v>358.45326248260756</c:v>
                </c:pt>
                <c:pt idx="36">
                  <c:v>358.45326248260756</c:v>
                </c:pt>
                <c:pt idx="37">
                  <c:v>358.45326248260756</c:v>
                </c:pt>
                <c:pt idx="38">
                  <c:v>358.45326248260756</c:v>
                </c:pt>
                <c:pt idx="39">
                  <c:v>358.45326248260756</c:v>
                </c:pt>
                <c:pt idx="40">
                  <c:v>358.45326248260756</c:v>
                </c:pt>
                <c:pt idx="41">
                  <c:v>358.45326248260756</c:v>
                </c:pt>
                <c:pt idx="42">
                  <c:v>358.45326248260756</c:v>
                </c:pt>
                <c:pt idx="43">
                  <c:v>358.45326248260756</c:v>
                </c:pt>
                <c:pt idx="44">
                  <c:v>358.45326248260756</c:v>
                </c:pt>
                <c:pt idx="45">
                  <c:v>358.45326248260756</c:v>
                </c:pt>
                <c:pt idx="46">
                  <c:v>358.45326248260756</c:v>
                </c:pt>
                <c:pt idx="47">
                  <c:v>358.45326248260756</c:v>
                </c:pt>
                <c:pt idx="48">
                  <c:v>358.45326248260756</c:v>
                </c:pt>
                <c:pt idx="49">
                  <c:v>358.45326248260756</c:v>
                </c:pt>
                <c:pt idx="50">
                  <c:v>358.45326248260756</c:v>
                </c:pt>
                <c:pt idx="51">
                  <c:v>358.45326248260756</c:v>
                </c:pt>
                <c:pt idx="52">
                  <c:v>358.45326248260756</c:v>
                </c:pt>
                <c:pt idx="53">
                  <c:v>358.45326248260756</c:v>
                </c:pt>
                <c:pt idx="54">
                  <c:v>358.45326248260756</c:v>
                </c:pt>
                <c:pt idx="55">
                  <c:v>358.45326248260756</c:v>
                </c:pt>
                <c:pt idx="56">
                  <c:v>358.45326248260756</c:v>
                </c:pt>
                <c:pt idx="57">
                  <c:v>358.45326248260756</c:v>
                </c:pt>
                <c:pt idx="58">
                  <c:v>358.45326248260756</c:v>
                </c:pt>
                <c:pt idx="59">
                  <c:v>358.45326248260756</c:v>
                </c:pt>
                <c:pt idx="60">
                  <c:v>358.45326248260756</c:v>
                </c:pt>
                <c:pt idx="61">
                  <c:v>358.45326248260756</c:v>
                </c:pt>
                <c:pt idx="62">
                  <c:v>358.45326248260756</c:v>
                </c:pt>
                <c:pt idx="63">
                  <c:v>358.45326248260756</c:v>
                </c:pt>
                <c:pt idx="64">
                  <c:v>358.45326248260756</c:v>
                </c:pt>
                <c:pt idx="65">
                  <c:v>358.45326248260756</c:v>
                </c:pt>
                <c:pt idx="66">
                  <c:v>358.45326248260756</c:v>
                </c:pt>
                <c:pt idx="67">
                  <c:v>358.45326248260756</c:v>
                </c:pt>
                <c:pt idx="68">
                  <c:v>358.45326248260756</c:v>
                </c:pt>
                <c:pt idx="69">
                  <c:v>358.45326248260756</c:v>
                </c:pt>
                <c:pt idx="70">
                  <c:v>358.45326248260756</c:v>
                </c:pt>
                <c:pt idx="71">
                  <c:v>358.45326248260756</c:v>
                </c:pt>
                <c:pt idx="72">
                  <c:v>358.45326248260756</c:v>
                </c:pt>
                <c:pt idx="73">
                  <c:v>358.45326248260756</c:v>
                </c:pt>
                <c:pt idx="74">
                  <c:v>358.45326248260756</c:v>
                </c:pt>
                <c:pt idx="75">
                  <c:v>358.45326248260756</c:v>
                </c:pt>
                <c:pt idx="76">
                  <c:v>358.45326248260756</c:v>
                </c:pt>
                <c:pt idx="77">
                  <c:v>358.45326248260756</c:v>
                </c:pt>
                <c:pt idx="78">
                  <c:v>358.45326248260756</c:v>
                </c:pt>
                <c:pt idx="79">
                  <c:v>358.45326248260756</c:v>
                </c:pt>
                <c:pt idx="80">
                  <c:v>358.45326248260756</c:v>
                </c:pt>
                <c:pt idx="81">
                  <c:v>358.45326248260756</c:v>
                </c:pt>
                <c:pt idx="82">
                  <c:v>358.45326248260756</c:v>
                </c:pt>
                <c:pt idx="83">
                  <c:v>358.45326248260756</c:v>
                </c:pt>
                <c:pt idx="84">
                  <c:v>358.45326248260756</c:v>
                </c:pt>
                <c:pt idx="85">
                  <c:v>358.45326248260756</c:v>
                </c:pt>
                <c:pt idx="86">
                  <c:v>358.45326248260756</c:v>
                </c:pt>
                <c:pt idx="87">
                  <c:v>358.45326248260756</c:v>
                </c:pt>
                <c:pt idx="88">
                  <c:v>358.45326248260756</c:v>
                </c:pt>
                <c:pt idx="89">
                  <c:v>358.45326248260756</c:v>
                </c:pt>
                <c:pt idx="90">
                  <c:v>358.45326248260756</c:v>
                </c:pt>
                <c:pt idx="91">
                  <c:v>358.45326248260756</c:v>
                </c:pt>
                <c:pt idx="92">
                  <c:v>358.45326248260756</c:v>
                </c:pt>
                <c:pt idx="93">
                  <c:v>358.45326248260756</c:v>
                </c:pt>
                <c:pt idx="94">
                  <c:v>358.45326248260756</c:v>
                </c:pt>
                <c:pt idx="95">
                  <c:v>358.45326248260756</c:v>
                </c:pt>
                <c:pt idx="96">
                  <c:v>358.45326248260756</c:v>
                </c:pt>
                <c:pt idx="97">
                  <c:v>358.45326248260756</c:v>
                </c:pt>
                <c:pt idx="98">
                  <c:v>358.45326248260756</c:v>
                </c:pt>
                <c:pt idx="99">
                  <c:v>358.45326248260756</c:v>
                </c:pt>
                <c:pt idx="100">
                  <c:v>358.45326248260756</c:v>
                </c:pt>
                <c:pt idx="101">
                  <c:v>358.45326248260756</c:v>
                </c:pt>
                <c:pt idx="102">
                  <c:v>358.45326248260756</c:v>
                </c:pt>
                <c:pt idx="103">
                  <c:v>358.45326248260756</c:v>
                </c:pt>
                <c:pt idx="104">
                  <c:v>358.45326248260756</c:v>
                </c:pt>
                <c:pt idx="105">
                  <c:v>358.45326248260756</c:v>
                </c:pt>
                <c:pt idx="106">
                  <c:v>358.45326248260756</c:v>
                </c:pt>
                <c:pt idx="107">
                  <c:v>358.45326248260756</c:v>
                </c:pt>
                <c:pt idx="108">
                  <c:v>358.45326248260756</c:v>
                </c:pt>
                <c:pt idx="109">
                  <c:v>358.45326248260756</c:v>
                </c:pt>
                <c:pt idx="110">
                  <c:v>358.45326248260756</c:v>
                </c:pt>
                <c:pt idx="111">
                  <c:v>358.45326248260756</c:v>
                </c:pt>
                <c:pt idx="112">
                  <c:v>358.45326248260756</c:v>
                </c:pt>
                <c:pt idx="113">
                  <c:v>358.45326248260756</c:v>
                </c:pt>
                <c:pt idx="114">
                  <c:v>358.45326248260756</c:v>
                </c:pt>
                <c:pt idx="115">
                  <c:v>358.45326248260756</c:v>
                </c:pt>
                <c:pt idx="116">
                  <c:v>358.45326248260756</c:v>
                </c:pt>
                <c:pt idx="117">
                  <c:v>358.45326248260756</c:v>
                </c:pt>
                <c:pt idx="118">
                  <c:v>358.45326248260756</c:v>
                </c:pt>
                <c:pt idx="119">
                  <c:v>358.45326248260756</c:v>
                </c:pt>
                <c:pt idx="120">
                  <c:v>358.45326248260756</c:v>
                </c:pt>
                <c:pt idx="121">
                  <c:v>358.45326248260756</c:v>
                </c:pt>
                <c:pt idx="122">
                  <c:v>358.45326248260756</c:v>
                </c:pt>
                <c:pt idx="123">
                  <c:v>358.45326248260756</c:v>
                </c:pt>
                <c:pt idx="124">
                  <c:v>358.45326248260756</c:v>
                </c:pt>
                <c:pt idx="125">
                  <c:v>358.45326248260756</c:v>
                </c:pt>
                <c:pt idx="126">
                  <c:v>358.45326248260756</c:v>
                </c:pt>
                <c:pt idx="127">
                  <c:v>358.45326248260756</c:v>
                </c:pt>
                <c:pt idx="128">
                  <c:v>358.45326248260756</c:v>
                </c:pt>
                <c:pt idx="129">
                  <c:v>358.45326248260756</c:v>
                </c:pt>
                <c:pt idx="130">
                  <c:v>358.45326248260756</c:v>
                </c:pt>
                <c:pt idx="131">
                  <c:v>358.45326248260756</c:v>
                </c:pt>
                <c:pt idx="132">
                  <c:v>358.45326248260756</c:v>
                </c:pt>
                <c:pt idx="133">
                  <c:v>358.45326248260756</c:v>
                </c:pt>
                <c:pt idx="134">
                  <c:v>358.45326248260756</c:v>
                </c:pt>
                <c:pt idx="135">
                  <c:v>358.45326248260756</c:v>
                </c:pt>
                <c:pt idx="136">
                  <c:v>358.45326248260756</c:v>
                </c:pt>
                <c:pt idx="137">
                  <c:v>358.45326248260756</c:v>
                </c:pt>
                <c:pt idx="138">
                  <c:v>358.45326248260756</c:v>
                </c:pt>
                <c:pt idx="139">
                  <c:v>358.45326248260756</c:v>
                </c:pt>
                <c:pt idx="140">
                  <c:v>358.45326248260756</c:v>
                </c:pt>
                <c:pt idx="141">
                  <c:v>358.45326248260756</c:v>
                </c:pt>
                <c:pt idx="142">
                  <c:v>358.45326248260756</c:v>
                </c:pt>
                <c:pt idx="143">
                  <c:v>358.45326248260756</c:v>
                </c:pt>
                <c:pt idx="144">
                  <c:v>358.45326248260756</c:v>
                </c:pt>
                <c:pt idx="145">
                  <c:v>358.45326248260756</c:v>
                </c:pt>
                <c:pt idx="146">
                  <c:v>358.45326248260756</c:v>
                </c:pt>
                <c:pt idx="147">
                  <c:v>358.45326248260756</c:v>
                </c:pt>
                <c:pt idx="148">
                  <c:v>358.45326248260756</c:v>
                </c:pt>
                <c:pt idx="149">
                  <c:v>358.45326248260756</c:v>
                </c:pt>
                <c:pt idx="150">
                  <c:v>358.45326248260756</c:v>
                </c:pt>
                <c:pt idx="151">
                  <c:v>358.45326248260756</c:v>
                </c:pt>
                <c:pt idx="152">
                  <c:v>358.45326248260756</c:v>
                </c:pt>
                <c:pt idx="153">
                  <c:v>358.45326248260756</c:v>
                </c:pt>
                <c:pt idx="154">
                  <c:v>358.45326248260756</c:v>
                </c:pt>
                <c:pt idx="155">
                  <c:v>358.45326248260756</c:v>
                </c:pt>
                <c:pt idx="156">
                  <c:v>358.45326248260756</c:v>
                </c:pt>
                <c:pt idx="157">
                  <c:v>358.45326248260756</c:v>
                </c:pt>
                <c:pt idx="158">
                  <c:v>358.45326248260756</c:v>
                </c:pt>
                <c:pt idx="159">
                  <c:v>358.45326248260756</c:v>
                </c:pt>
                <c:pt idx="160">
                  <c:v>358.45326248260756</c:v>
                </c:pt>
                <c:pt idx="161">
                  <c:v>358.45326248260756</c:v>
                </c:pt>
                <c:pt idx="162">
                  <c:v>358.45326248260756</c:v>
                </c:pt>
                <c:pt idx="163">
                  <c:v>358.45326248260756</c:v>
                </c:pt>
                <c:pt idx="164">
                  <c:v>358.45326248260756</c:v>
                </c:pt>
                <c:pt idx="165">
                  <c:v>358.45326248260756</c:v>
                </c:pt>
                <c:pt idx="166">
                  <c:v>358.45326248260756</c:v>
                </c:pt>
                <c:pt idx="167">
                  <c:v>358.45326248260756</c:v>
                </c:pt>
                <c:pt idx="168">
                  <c:v>358.45326248260756</c:v>
                </c:pt>
                <c:pt idx="169">
                  <c:v>358.45326248260756</c:v>
                </c:pt>
                <c:pt idx="170">
                  <c:v>358.45326248260756</c:v>
                </c:pt>
                <c:pt idx="171">
                  <c:v>358.45326248260756</c:v>
                </c:pt>
                <c:pt idx="172">
                  <c:v>358.45326248260756</c:v>
                </c:pt>
                <c:pt idx="173">
                  <c:v>358.45326248260756</c:v>
                </c:pt>
                <c:pt idx="174">
                  <c:v>358.45326248260756</c:v>
                </c:pt>
                <c:pt idx="175">
                  <c:v>358.45326248260756</c:v>
                </c:pt>
                <c:pt idx="176">
                  <c:v>358.45326248260756</c:v>
                </c:pt>
                <c:pt idx="177">
                  <c:v>358.45326248260756</c:v>
                </c:pt>
                <c:pt idx="178">
                  <c:v>358.45326248260756</c:v>
                </c:pt>
                <c:pt idx="179">
                  <c:v>358.45326248260756</c:v>
                </c:pt>
                <c:pt idx="180">
                  <c:v>358.45326248260756</c:v>
                </c:pt>
                <c:pt idx="181">
                  <c:v>358.45326248260756</c:v>
                </c:pt>
                <c:pt idx="182">
                  <c:v>358.45326248260756</c:v>
                </c:pt>
                <c:pt idx="183">
                  <c:v>358.45326248260756</c:v>
                </c:pt>
                <c:pt idx="184">
                  <c:v>358.45326248260756</c:v>
                </c:pt>
                <c:pt idx="185">
                  <c:v>358.45326248260756</c:v>
                </c:pt>
                <c:pt idx="186">
                  <c:v>358.45326248260756</c:v>
                </c:pt>
                <c:pt idx="187">
                  <c:v>358.45326248260756</c:v>
                </c:pt>
                <c:pt idx="188">
                  <c:v>358.45326248260756</c:v>
                </c:pt>
                <c:pt idx="189">
                  <c:v>358.45326248260756</c:v>
                </c:pt>
                <c:pt idx="190">
                  <c:v>358.45326248260756</c:v>
                </c:pt>
                <c:pt idx="191">
                  <c:v>358.45326248260756</c:v>
                </c:pt>
                <c:pt idx="192">
                  <c:v>358.45326248260756</c:v>
                </c:pt>
                <c:pt idx="193">
                  <c:v>358.45326248260756</c:v>
                </c:pt>
                <c:pt idx="194">
                  <c:v>358.45326248260756</c:v>
                </c:pt>
                <c:pt idx="195">
                  <c:v>358.45326248260756</c:v>
                </c:pt>
                <c:pt idx="196">
                  <c:v>358.45326248260756</c:v>
                </c:pt>
                <c:pt idx="197">
                  <c:v>358.45326248260756</c:v>
                </c:pt>
                <c:pt idx="198">
                  <c:v>358.45326248260756</c:v>
                </c:pt>
                <c:pt idx="199">
                  <c:v>358.45326248260756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Simulador!$Z$4</c:f>
              <c:strCache>
                <c:ptCount val="1"/>
                <c:pt idx="0">
                  <c:v>Med + desv</c:v>
                </c:pt>
              </c:strCache>
            </c:strRef>
          </c:tx>
          <c:marker>
            <c:symbol val="none"/>
          </c:marker>
          <c:val>
            <c:numRef>
              <c:f>Simulador!$Z$5:$Z$204</c:f>
              <c:numCache>
                <c:formatCode>#,##0</c:formatCode>
                <c:ptCount val="200"/>
                <c:pt idx="0">
                  <c:v>372.10373639326463</c:v>
                </c:pt>
                <c:pt idx="1">
                  <c:v>372.10373639326463</c:v>
                </c:pt>
                <c:pt idx="2">
                  <c:v>372.10373639326463</c:v>
                </c:pt>
                <c:pt idx="3">
                  <c:v>372.10373639326463</c:v>
                </c:pt>
                <c:pt idx="4">
                  <c:v>372.10373639326463</c:v>
                </c:pt>
                <c:pt idx="5">
                  <c:v>372.10373639326463</c:v>
                </c:pt>
                <c:pt idx="6">
                  <c:v>372.10373639326463</c:v>
                </c:pt>
                <c:pt idx="7">
                  <c:v>372.10373639326463</c:v>
                </c:pt>
                <c:pt idx="8">
                  <c:v>372.10373639326463</c:v>
                </c:pt>
                <c:pt idx="9">
                  <c:v>372.10373639326463</c:v>
                </c:pt>
                <c:pt idx="10">
                  <c:v>372.10373639326463</c:v>
                </c:pt>
                <c:pt idx="11">
                  <c:v>372.10373639326463</c:v>
                </c:pt>
                <c:pt idx="12">
                  <c:v>372.10373639326463</c:v>
                </c:pt>
                <c:pt idx="13">
                  <c:v>372.10373639326463</c:v>
                </c:pt>
                <c:pt idx="14">
                  <c:v>372.10373639326463</c:v>
                </c:pt>
                <c:pt idx="15">
                  <c:v>372.10373639326463</c:v>
                </c:pt>
                <c:pt idx="16">
                  <c:v>372.10373639326463</c:v>
                </c:pt>
                <c:pt idx="17">
                  <c:v>372.10373639326463</c:v>
                </c:pt>
                <c:pt idx="18">
                  <c:v>372.10373639326463</c:v>
                </c:pt>
                <c:pt idx="19">
                  <c:v>372.10373639326463</c:v>
                </c:pt>
                <c:pt idx="20">
                  <c:v>372.10373639326463</c:v>
                </c:pt>
                <c:pt idx="21">
                  <c:v>372.10373639326463</c:v>
                </c:pt>
                <c:pt idx="22">
                  <c:v>372.10373639326463</c:v>
                </c:pt>
                <c:pt idx="23">
                  <c:v>372.10373639326463</c:v>
                </c:pt>
                <c:pt idx="24">
                  <c:v>372.10373639326463</c:v>
                </c:pt>
                <c:pt idx="25">
                  <c:v>372.10373639326463</c:v>
                </c:pt>
                <c:pt idx="26">
                  <c:v>372.10373639326463</c:v>
                </c:pt>
                <c:pt idx="27">
                  <c:v>372.10373639326463</c:v>
                </c:pt>
                <c:pt idx="28">
                  <c:v>372.10373639326463</c:v>
                </c:pt>
                <c:pt idx="29">
                  <c:v>372.10373639326463</c:v>
                </c:pt>
                <c:pt idx="30">
                  <c:v>372.10373639326463</c:v>
                </c:pt>
                <c:pt idx="31">
                  <c:v>372.10373639326463</c:v>
                </c:pt>
                <c:pt idx="32">
                  <c:v>372.10373639326463</c:v>
                </c:pt>
                <c:pt idx="33">
                  <c:v>372.10373639326463</c:v>
                </c:pt>
                <c:pt idx="34">
                  <c:v>372.10373639326463</c:v>
                </c:pt>
                <c:pt idx="35">
                  <c:v>372.10373639326463</c:v>
                </c:pt>
                <c:pt idx="36">
                  <c:v>372.10373639326463</c:v>
                </c:pt>
                <c:pt idx="37">
                  <c:v>372.10373639326463</c:v>
                </c:pt>
                <c:pt idx="38">
                  <c:v>372.10373639326463</c:v>
                </c:pt>
                <c:pt idx="39">
                  <c:v>372.10373639326463</c:v>
                </c:pt>
                <c:pt idx="40">
                  <c:v>372.10373639326463</c:v>
                </c:pt>
                <c:pt idx="41">
                  <c:v>372.10373639326463</c:v>
                </c:pt>
                <c:pt idx="42">
                  <c:v>372.10373639326463</c:v>
                </c:pt>
                <c:pt idx="43">
                  <c:v>372.10373639326463</c:v>
                </c:pt>
                <c:pt idx="44">
                  <c:v>372.10373639326463</c:v>
                </c:pt>
                <c:pt idx="45">
                  <c:v>372.10373639326463</c:v>
                </c:pt>
                <c:pt idx="46">
                  <c:v>372.10373639326463</c:v>
                </c:pt>
                <c:pt idx="47">
                  <c:v>372.10373639326463</c:v>
                </c:pt>
                <c:pt idx="48">
                  <c:v>372.10373639326463</c:v>
                </c:pt>
                <c:pt idx="49">
                  <c:v>372.10373639326463</c:v>
                </c:pt>
                <c:pt idx="50">
                  <c:v>372.10373639326463</c:v>
                </c:pt>
                <c:pt idx="51">
                  <c:v>372.10373639326463</c:v>
                </c:pt>
                <c:pt idx="52">
                  <c:v>372.10373639326463</c:v>
                </c:pt>
                <c:pt idx="53">
                  <c:v>372.10373639326463</c:v>
                </c:pt>
                <c:pt idx="54">
                  <c:v>372.10373639326463</c:v>
                </c:pt>
                <c:pt idx="55">
                  <c:v>372.10373639326463</c:v>
                </c:pt>
                <c:pt idx="56">
                  <c:v>372.10373639326463</c:v>
                </c:pt>
                <c:pt idx="57">
                  <c:v>372.10373639326463</c:v>
                </c:pt>
                <c:pt idx="58">
                  <c:v>372.10373639326463</c:v>
                </c:pt>
                <c:pt idx="59">
                  <c:v>372.10373639326463</c:v>
                </c:pt>
                <c:pt idx="60">
                  <c:v>372.10373639326463</c:v>
                </c:pt>
                <c:pt idx="61">
                  <c:v>372.10373639326463</c:v>
                </c:pt>
                <c:pt idx="62">
                  <c:v>372.10373639326463</c:v>
                </c:pt>
                <c:pt idx="63">
                  <c:v>372.10373639326463</c:v>
                </c:pt>
                <c:pt idx="64">
                  <c:v>372.10373639326463</c:v>
                </c:pt>
                <c:pt idx="65">
                  <c:v>372.10373639326463</c:v>
                </c:pt>
                <c:pt idx="66">
                  <c:v>372.10373639326463</c:v>
                </c:pt>
                <c:pt idx="67">
                  <c:v>372.10373639326463</c:v>
                </c:pt>
                <c:pt idx="68">
                  <c:v>372.10373639326463</c:v>
                </c:pt>
                <c:pt idx="69">
                  <c:v>372.10373639326463</c:v>
                </c:pt>
                <c:pt idx="70">
                  <c:v>372.10373639326463</c:v>
                </c:pt>
                <c:pt idx="71">
                  <c:v>372.10373639326463</c:v>
                </c:pt>
                <c:pt idx="72">
                  <c:v>372.10373639326463</c:v>
                </c:pt>
                <c:pt idx="73">
                  <c:v>372.10373639326463</c:v>
                </c:pt>
                <c:pt idx="74">
                  <c:v>372.10373639326463</c:v>
                </c:pt>
                <c:pt idx="75">
                  <c:v>372.10373639326463</c:v>
                </c:pt>
                <c:pt idx="76">
                  <c:v>372.10373639326463</c:v>
                </c:pt>
                <c:pt idx="77">
                  <c:v>372.10373639326463</c:v>
                </c:pt>
                <c:pt idx="78">
                  <c:v>372.10373639326463</c:v>
                </c:pt>
                <c:pt idx="79">
                  <c:v>372.10373639326463</c:v>
                </c:pt>
                <c:pt idx="80">
                  <c:v>372.10373639326463</c:v>
                </c:pt>
                <c:pt idx="81">
                  <c:v>372.10373639326463</c:v>
                </c:pt>
                <c:pt idx="82">
                  <c:v>372.10373639326463</c:v>
                </c:pt>
                <c:pt idx="83">
                  <c:v>372.10373639326463</c:v>
                </c:pt>
                <c:pt idx="84">
                  <c:v>372.10373639326463</c:v>
                </c:pt>
                <c:pt idx="85">
                  <c:v>372.10373639326463</c:v>
                </c:pt>
                <c:pt idx="86">
                  <c:v>372.10373639326463</c:v>
                </c:pt>
                <c:pt idx="87">
                  <c:v>372.10373639326463</c:v>
                </c:pt>
                <c:pt idx="88">
                  <c:v>372.10373639326463</c:v>
                </c:pt>
                <c:pt idx="89">
                  <c:v>372.10373639326463</c:v>
                </c:pt>
                <c:pt idx="90">
                  <c:v>372.10373639326463</c:v>
                </c:pt>
                <c:pt idx="91">
                  <c:v>372.10373639326463</c:v>
                </c:pt>
                <c:pt idx="92">
                  <c:v>372.10373639326463</c:v>
                </c:pt>
                <c:pt idx="93">
                  <c:v>372.10373639326463</c:v>
                </c:pt>
                <c:pt idx="94">
                  <c:v>372.10373639326463</c:v>
                </c:pt>
                <c:pt idx="95">
                  <c:v>372.10373639326463</c:v>
                </c:pt>
                <c:pt idx="96">
                  <c:v>372.10373639326463</c:v>
                </c:pt>
                <c:pt idx="97">
                  <c:v>372.10373639326463</c:v>
                </c:pt>
                <c:pt idx="98">
                  <c:v>372.10373639326463</c:v>
                </c:pt>
                <c:pt idx="99">
                  <c:v>372.10373639326463</c:v>
                </c:pt>
                <c:pt idx="100">
                  <c:v>372.10373639326463</c:v>
                </c:pt>
                <c:pt idx="101">
                  <c:v>372.10373639326463</c:v>
                </c:pt>
                <c:pt idx="102">
                  <c:v>372.10373639326463</c:v>
                </c:pt>
                <c:pt idx="103">
                  <c:v>372.10373639326463</c:v>
                </c:pt>
                <c:pt idx="104">
                  <c:v>372.10373639326463</c:v>
                </c:pt>
                <c:pt idx="105">
                  <c:v>372.10373639326463</c:v>
                </c:pt>
                <c:pt idx="106">
                  <c:v>372.10373639326463</c:v>
                </c:pt>
                <c:pt idx="107">
                  <c:v>372.10373639326463</c:v>
                </c:pt>
                <c:pt idx="108">
                  <c:v>372.10373639326463</c:v>
                </c:pt>
                <c:pt idx="109">
                  <c:v>372.10373639326463</c:v>
                </c:pt>
                <c:pt idx="110">
                  <c:v>372.10373639326463</c:v>
                </c:pt>
                <c:pt idx="111">
                  <c:v>372.10373639326463</c:v>
                </c:pt>
                <c:pt idx="112">
                  <c:v>372.10373639326463</c:v>
                </c:pt>
                <c:pt idx="113">
                  <c:v>372.10373639326463</c:v>
                </c:pt>
                <c:pt idx="114">
                  <c:v>372.10373639326463</c:v>
                </c:pt>
                <c:pt idx="115">
                  <c:v>372.10373639326463</c:v>
                </c:pt>
                <c:pt idx="116">
                  <c:v>372.10373639326463</c:v>
                </c:pt>
                <c:pt idx="117">
                  <c:v>372.10373639326463</c:v>
                </c:pt>
                <c:pt idx="118">
                  <c:v>372.10373639326463</c:v>
                </c:pt>
                <c:pt idx="119">
                  <c:v>372.10373639326463</c:v>
                </c:pt>
                <c:pt idx="120">
                  <c:v>372.10373639326463</c:v>
                </c:pt>
                <c:pt idx="121">
                  <c:v>372.10373639326463</c:v>
                </c:pt>
                <c:pt idx="122">
                  <c:v>372.10373639326463</c:v>
                </c:pt>
                <c:pt idx="123">
                  <c:v>372.10373639326463</c:v>
                </c:pt>
                <c:pt idx="124">
                  <c:v>372.10373639326463</c:v>
                </c:pt>
                <c:pt idx="125">
                  <c:v>372.10373639326463</c:v>
                </c:pt>
                <c:pt idx="126">
                  <c:v>372.10373639326463</c:v>
                </c:pt>
                <c:pt idx="127">
                  <c:v>372.10373639326463</c:v>
                </c:pt>
                <c:pt idx="128">
                  <c:v>372.10373639326463</c:v>
                </c:pt>
                <c:pt idx="129">
                  <c:v>372.10373639326463</c:v>
                </c:pt>
                <c:pt idx="130">
                  <c:v>372.10373639326463</c:v>
                </c:pt>
                <c:pt idx="131">
                  <c:v>372.10373639326463</c:v>
                </c:pt>
                <c:pt idx="132">
                  <c:v>372.10373639326463</c:v>
                </c:pt>
                <c:pt idx="133">
                  <c:v>372.10373639326463</c:v>
                </c:pt>
                <c:pt idx="134">
                  <c:v>372.10373639326463</c:v>
                </c:pt>
                <c:pt idx="135">
                  <c:v>372.10373639326463</c:v>
                </c:pt>
                <c:pt idx="136">
                  <c:v>372.10373639326463</c:v>
                </c:pt>
                <c:pt idx="137">
                  <c:v>372.10373639326463</c:v>
                </c:pt>
                <c:pt idx="138">
                  <c:v>372.10373639326463</c:v>
                </c:pt>
                <c:pt idx="139">
                  <c:v>372.10373639326463</c:v>
                </c:pt>
                <c:pt idx="140">
                  <c:v>372.10373639326463</c:v>
                </c:pt>
                <c:pt idx="141">
                  <c:v>372.10373639326463</c:v>
                </c:pt>
                <c:pt idx="142">
                  <c:v>372.10373639326463</c:v>
                </c:pt>
                <c:pt idx="143">
                  <c:v>372.10373639326463</c:v>
                </c:pt>
                <c:pt idx="144">
                  <c:v>372.10373639326463</c:v>
                </c:pt>
                <c:pt idx="145">
                  <c:v>372.10373639326463</c:v>
                </c:pt>
                <c:pt idx="146">
                  <c:v>372.10373639326463</c:v>
                </c:pt>
                <c:pt idx="147">
                  <c:v>372.10373639326463</c:v>
                </c:pt>
                <c:pt idx="148">
                  <c:v>372.10373639326463</c:v>
                </c:pt>
                <c:pt idx="149">
                  <c:v>372.10373639326463</c:v>
                </c:pt>
                <c:pt idx="150">
                  <c:v>372.10373639326463</c:v>
                </c:pt>
                <c:pt idx="151">
                  <c:v>372.10373639326463</c:v>
                </c:pt>
                <c:pt idx="152">
                  <c:v>372.10373639326463</c:v>
                </c:pt>
                <c:pt idx="153">
                  <c:v>372.10373639326463</c:v>
                </c:pt>
                <c:pt idx="154">
                  <c:v>372.10373639326463</c:v>
                </c:pt>
                <c:pt idx="155">
                  <c:v>372.10373639326463</c:v>
                </c:pt>
                <c:pt idx="156">
                  <c:v>372.10373639326463</c:v>
                </c:pt>
                <c:pt idx="157">
                  <c:v>372.10373639326463</c:v>
                </c:pt>
                <c:pt idx="158">
                  <c:v>372.10373639326463</c:v>
                </c:pt>
                <c:pt idx="159">
                  <c:v>372.10373639326463</c:v>
                </c:pt>
                <c:pt idx="160">
                  <c:v>372.10373639326463</c:v>
                </c:pt>
                <c:pt idx="161">
                  <c:v>372.10373639326463</c:v>
                </c:pt>
                <c:pt idx="162">
                  <c:v>372.10373639326463</c:v>
                </c:pt>
                <c:pt idx="163">
                  <c:v>372.10373639326463</c:v>
                </c:pt>
                <c:pt idx="164">
                  <c:v>372.10373639326463</c:v>
                </c:pt>
                <c:pt idx="165">
                  <c:v>372.10373639326463</c:v>
                </c:pt>
                <c:pt idx="166">
                  <c:v>372.10373639326463</c:v>
                </c:pt>
                <c:pt idx="167">
                  <c:v>372.10373639326463</c:v>
                </c:pt>
                <c:pt idx="168">
                  <c:v>372.10373639326463</c:v>
                </c:pt>
                <c:pt idx="169">
                  <c:v>372.10373639326463</c:v>
                </c:pt>
                <c:pt idx="170">
                  <c:v>372.10373639326463</c:v>
                </c:pt>
                <c:pt idx="171">
                  <c:v>372.10373639326463</c:v>
                </c:pt>
                <c:pt idx="172">
                  <c:v>372.10373639326463</c:v>
                </c:pt>
                <c:pt idx="173">
                  <c:v>372.10373639326463</c:v>
                </c:pt>
                <c:pt idx="174">
                  <c:v>372.10373639326463</c:v>
                </c:pt>
                <c:pt idx="175">
                  <c:v>372.10373639326463</c:v>
                </c:pt>
                <c:pt idx="176">
                  <c:v>372.10373639326463</c:v>
                </c:pt>
                <c:pt idx="177">
                  <c:v>372.10373639326463</c:v>
                </c:pt>
                <c:pt idx="178">
                  <c:v>372.10373639326463</c:v>
                </c:pt>
                <c:pt idx="179">
                  <c:v>372.10373639326463</c:v>
                </c:pt>
                <c:pt idx="180">
                  <c:v>372.10373639326463</c:v>
                </c:pt>
                <c:pt idx="181">
                  <c:v>372.10373639326463</c:v>
                </c:pt>
                <c:pt idx="182">
                  <c:v>372.10373639326463</c:v>
                </c:pt>
                <c:pt idx="183">
                  <c:v>372.10373639326463</c:v>
                </c:pt>
                <c:pt idx="184">
                  <c:v>372.10373639326463</c:v>
                </c:pt>
                <c:pt idx="185">
                  <c:v>372.10373639326463</c:v>
                </c:pt>
                <c:pt idx="186">
                  <c:v>372.10373639326463</c:v>
                </c:pt>
                <c:pt idx="187">
                  <c:v>372.10373639326463</c:v>
                </c:pt>
                <c:pt idx="188">
                  <c:v>372.10373639326463</c:v>
                </c:pt>
                <c:pt idx="189">
                  <c:v>372.10373639326463</c:v>
                </c:pt>
                <c:pt idx="190">
                  <c:v>372.10373639326463</c:v>
                </c:pt>
                <c:pt idx="191">
                  <c:v>372.10373639326463</c:v>
                </c:pt>
                <c:pt idx="192">
                  <c:v>372.10373639326463</c:v>
                </c:pt>
                <c:pt idx="193">
                  <c:v>372.10373639326463</c:v>
                </c:pt>
                <c:pt idx="194">
                  <c:v>372.10373639326463</c:v>
                </c:pt>
                <c:pt idx="195">
                  <c:v>372.10373639326463</c:v>
                </c:pt>
                <c:pt idx="196">
                  <c:v>372.10373639326463</c:v>
                </c:pt>
                <c:pt idx="197">
                  <c:v>372.10373639326463</c:v>
                </c:pt>
                <c:pt idx="198">
                  <c:v>372.10373639326463</c:v>
                </c:pt>
                <c:pt idx="199">
                  <c:v>372.10373639326463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3929728"/>
        <c:axId val="60619520"/>
      </c:lineChart>
      <c:catAx>
        <c:axId val="633929728"/>
        <c:scaling>
          <c:orientation val="minMax"/>
        </c:scaling>
        <c:delete val="0"/>
        <c:axPos val="b"/>
        <c:majorTickMark val="out"/>
        <c:minorTickMark val="none"/>
        <c:tickLblPos val="nextTo"/>
        <c:crossAx val="60619520"/>
        <c:crosses val="autoZero"/>
        <c:auto val="1"/>
        <c:lblAlgn val="ctr"/>
        <c:lblOffset val="100"/>
        <c:noMultiLvlLbl val="0"/>
      </c:catAx>
      <c:valAx>
        <c:axId val="60619520"/>
        <c:scaling>
          <c:orientation val="minMax"/>
        </c:scaling>
        <c:delete val="0"/>
        <c:axPos val="l"/>
        <c:numFmt formatCode="#,##0_ ;\-#,##0\ " sourceLinked="0"/>
        <c:majorTickMark val="out"/>
        <c:minorTickMark val="none"/>
        <c:tickLblPos val="nextTo"/>
        <c:crossAx val="63392972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628650</xdr:colOff>
      <xdr:row>1</xdr:row>
      <xdr:rowOff>194852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8650" cy="4329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161926</xdr:rowOff>
        </xdr:from>
        <xdr:to>
          <xdr:col>7</xdr:col>
          <xdr:colOff>514350</xdr:colOff>
          <xdr:row>4</xdr:row>
          <xdr:rowOff>76201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Gerar caso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 aleatório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4</xdr:row>
          <xdr:rowOff>266700</xdr:rowOff>
        </xdr:from>
        <xdr:to>
          <xdr:col>7</xdr:col>
          <xdr:colOff>523875</xdr:colOff>
          <xdr:row>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Simular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428626</xdr:colOff>
      <xdr:row>0</xdr:row>
      <xdr:rowOff>9525</xdr:rowOff>
    </xdr:from>
    <xdr:to>
      <xdr:col>7</xdr:col>
      <xdr:colOff>180975</xdr:colOff>
      <xdr:row>1</xdr:row>
      <xdr:rowOff>133349</xdr:rowOff>
    </xdr:to>
    <xdr:pic macro="[0]!Help_clique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1" y="9525"/>
          <a:ext cx="361949" cy="361949"/>
        </a:xfrm>
        <a:prstGeom prst="rect">
          <a:avLst/>
        </a:prstGeom>
      </xdr:spPr>
    </xdr:pic>
    <xdr:clientData/>
  </xdr:twoCellAnchor>
  <xdr:twoCellAnchor>
    <xdr:from>
      <xdr:col>9</xdr:col>
      <xdr:colOff>38099</xdr:colOff>
      <xdr:row>6</xdr:row>
      <xdr:rowOff>33337</xdr:rowOff>
    </xdr:from>
    <xdr:to>
      <xdr:col>19</xdr:col>
      <xdr:colOff>180975</xdr:colOff>
      <xdr:row>20</xdr:row>
      <xdr:rowOff>109537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_Simulador"/>
  <dimension ref="A1:Z1835"/>
  <sheetViews>
    <sheetView showGridLines="0" tabSelected="1" workbookViewId="0">
      <selection activeCell="E14" sqref="E14"/>
    </sheetView>
  </sheetViews>
  <sheetFormatPr defaultRowHeight="15" x14ac:dyDescent="0.25"/>
  <cols>
    <col min="1" max="1" width="13.42578125" customWidth="1"/>
    <col min="2" max="4" width="11.28515625" customWidth="1"/>
    <col min="5" max="6" width="6.7109375" customWidth="1"/>
    <col min="8" max="8" width="8.5703125" customWidth="1"/>
    <col min="9" max="9" width="6.42578125" customWidth="1"/>
  </cols>
  <sheetData>
    <row r="1" spans="1:26" ht="18.75" x14ac:dyDescent="0.3">
      <c r="B1" s="7" t="s">
        <v>20</v>
      </c>
    </row>
    <row r="2" spans="1:26" ht="15.75" x14ac:dyDescent="0.25">
      <c r="J2" s="6" t="s">
        <v>2</v>
      </c>
    </row>
    <row r="4" spans="1:26" ht="24.75" customHeight="1" x14ac:dyDescent="0.25">
      <c r="A4" s="3" t="s">
        <v>0</v>
      </c>
      <c r="B4" s="3" t="s">
        <v>21</v>
      </c>
      <c r="C4" s="3" t="s">
        <v>22</v>
      </c>
      <c r="D4" s="3" t="s">
        <v>23</v>
      </c>
      <c r="J4" s="3" t="s">
        <v>11</v>
      </c>
      <c r="K4" s="9">
        <f>AVERAGE(W5:W1000)</f>
        <v>365.27849943793609</v>
      </c>
      <c r="M4" s="3" t="s">
        <v>19</v>
      </c>
      <c r="N4" s="11">
        <f>COUNTIFS(W5:W500,"&gt;="&amp;Y5,W5:W500,"&lt;"&amp;Z5)/COUNTA(W5:W500)</f>
        <v>0.66500000000000004</v>
      </c>
      <c r="V4" s="1" t="s">
        <v>9</v>
      </c>
      <c r="W4" s="2" t="s">
        <v>14</v>
      </c>
      <c r="X4" s="2" t="s">
        <v>1</v>
      </c>
      <c r="Y4" s="2" t="s">
        <v>13</v>
      </c>
      <c r="Z4" s="2" t="s">
        <v>12</v>
      </c>
    </row>
    <row r="5" spans="1:26" x14ac:dyDescent="0.25">
      <c r="A5" s="4" t="s">
        <v>3</v>
      </c>
      <c r="B5" s="5">
        <v>81.507583618164063</v>
      </c>
      <c r="C5" s="5">
        <v>87.370285034179688</v>
      </c>
      <c r="D5" s="5">
        <v>91.735733032226563</v>
      </c>
      <c r="J5" s="3" t="s">
        <v>10</v>
      </c>
      <c r="K5" s="9">
        <f>STDEVA(W5:W1000)</f>
        <v>6.8252369553285073</v>
      </c>
      <c r="V5">
        <v>1</v>
      </c>
      <c r="W5" s="8">
        <v>363.46341995369312</v>
      </c>
      <c r="X5" s="10">
        <f>K$4</f>
        <v>365.27849943793609</v>
      </c>
      <c r="Y5" s="10">
        <f>K$4-K5</f>
        <v>358.45326248260756</v>
      </c>
      <c r="Z5" s="10">
        <f>K4+K5</f>
        <v>372.10373639326463</v>
      </c>
    </row>
    <row r="6" spans="1:26" x14ac:dyDescent="0.25">
      <c r="A6" s="4" t="s">
        <v>4</v>
      </c>
      <c r="B6" s="5">
        <v>52.350814819335937</v>
      </c>
      <c r="C6" s="5">
        <v>60.929172515869141</v>
      </c>
      <c r="D6" s="5">
        <v>70.92266845703125</v>
      </c>
      <c r="V6">
        <v>2</v>
      </c>
      <c r="W6" s="8">
        <v>362.20866032973373</v>
      </c>
      <c r="X6" s="10">
        <f>X5</f>
        <v>365.27849943793609</v>
      </c>
      <c r="Y6" s="10">
        <f t="shared" ref="Y6:Y69" si="0">Y5</f>
        <v>358.45326248260756</v>
      </c>
      <c r="Z6" s="10">
        <f t="shared" ref="Z6:Z69" si="1">Z5</f>
        <v>372.10373639326463</v>
      </c>
    </row>
    <row r="7" spans="1:26" x14ac:dyDescent="0.25">
      <c r="A7" s="4" t="s">
        <v>5</v>
      </c>
      <c r="B7" s="5">
        <v>28.530879974365234</v>
      </c>
      <c r="C7" s="5">
        <v>35.087085723876953</v>
      </c>
      <c r="D7" s="5">
        <v>41.096382141113281</v>
      </c>
      <c r="V7">
        <v>3</v>
      </c>
      <c r="W7" s="8">
        <v>362.82323763314849</v>
      </c>
      <c r="X7" s="10">
        <f t="shared" ref="X7:X70" si="2">X6</f>
        <v>365.27849943793609</v>
      </c>
      <c r="Y7" s="10">
        <f t="shared" si="0"/>
        <v>358.45326248260756</v>
      </c>
      <c r="Z7" s="10">
        <f t="shared" si="1"/>
        <v>372.10373639326463</v>
      </c>
    </row>
    <row r="8" spans="1:26" x14ac:dyDescent="0.25">
      <c r="A8" s="4" t="s">
        <v>6</v>
      </c>
      <c r="B8" s="5">
        <v>30.721242904663086</v>
      </c>
      <c r="C8" s="5">
        <v>37.382801055908203</v>
      </c>
      <c r="D8" s="5">
        <v>43.818836212158203</v>
      </c>
      <c r="V8">
        <v>4</v>
      </c>
      <c r="W8" s="8">
        <v>366.34298608202232</v>
      </c>
      <c r="X8" s="10">
        <f t="shared" si="2"/>
        <v>365.27849943793609</v>
      </c>
      <c r="Y8" s="10">
        <f t="shared" si="0"/>
        <v>358.45326248260756</v>
      </c>
      <c r="Z8" s="10">
        <f t="shared" si="1"/>
        <v>372.10373639326463</v>
      </c>
    </row>
    <row r="9" spans="1:26" x14ac:dyDescent="0.25">
      <c r="A9" s="4" t="s">
        <v>7</v>
      </c>
      <c r="B9" s="5">
        <v>0.29912853240966797</v>
      </c>
      <c r="C9" s="5">
        <v>8.5466976165771484</v>
      </c>
      <c r="D9" s="5">
        <v>17.044157028198242</v>
      </c>
      <c r="V9">
        <v>5</v>
      </c>
      <c r="W9" s="8">
        <v>355.04211060594878</v>
      </c>
      <c r="X9" s="10">
        <f t="shared" si="2"/>
        <v>365.27849943793609</v>
      </c>
      <c r="Y9" s="10">
        <f t="shared" si="0"/>
        <v>358.45326248260756</v>
      </c>
      <c r="Z9" s="10">
        <f t="shared" si="1"/>
        <v>372.10373639326463</v>
      </c>
    </row>
    <row r="10" spans="1:26" x14ac:dyDescent="0.25">
      <c r="A10" s="4" t="s">
        <v>8</v>
      </c>
      <c r="B10" s="5">
        <v>71.944572448730469</v>
      </c>
      <c r="C10" s="5">
        <v>73.370208740234375</v>
      </c>
      <c r="D10" s="5">
        <v>82.583099365234375</v>
      </c>
      <c r="V10">
        <v>6</v>
      </c>
      <c r="W10" s="8">
        <v>375.41696979901394</v>
      </c>
      <c r="X10" s="10">
        <f t="shared" si="2"/>
        <v>365.27849943793609</v>
      </c>
      <c r="Y10" s="10">
        <f t="shared" si="0"/>
        <v>358.45326248260756</v>
      </c>
      <c r="Z10" s="10">
        <f t="shared" si="1"/>
        <v>372.10373639326463</v>
      </c>
    </row>
    <row r="11" spans="1:26" x14ac:dyDescent="0.25">
      <c r="A11" s="4" t="s">
        <v>15</v>
      </c>
      <c r="B11" s="5">
        <v>0</v>
      </c>
      <c r="C11" s="5">
        <v>0.66828727722167969</v>
      </c>
      <c r="D11" s="5">
        <v>4.0942201614379883</v>
      </c>
      <c r="V11">
        <v>7</v>
      </c>
      <c r="W11" s="8">
        <v>363.86133309556703</v>
      </c>
      <c r="X11" s="10">
        <f t="shared" si="2"/>
        <v>365.27849943793609</v>
      </c>
      <c r="Y11" s="10">
        <f t="shared" si="0"/>
        <v>358.45326248260756</v>
      </c>
      <c r="Z11" s="10">
        <f t="shared" si="1"/>
        <v>372.10373639326463</v>
      </c>
    </row>
    <row r="12" spans="1:26" x14ac:dyDescent="0.25">
      <c r="A12" s="4" t="s">
        <v>16</v>
      </c>
      <c r="B12" s="5">
        <v>0</v>
      </c>
      <c r="C12" s="5">
        <v>1.4803707599639893</v>
      </c>
      <c r="D12" s="5">
        <v>3.9782435894012451</v>
      </c>
      <c r="V12">
        <v>8</v>
      </c>
      <c r="W12" s="8">
        <v>362.64277050314365</v>
      </c>
      <c r="X12" s="10">
        <f t="shared" si="2"/>
        <v>365.27849943793609</v>
      </c>
      <c r="Y12" s="10">
        <f t="shared" si="0"/>
        <v>358.45326248260756</v>
      </c>
      <c r="Z12" s="10">
        <f t="shared" si="1"/>
        <v>372.10373639326463</v>
      </c>
    </row>
    <row r="13" spans="1:26" x14ac:dyDescent="0.25">
      <c r="A13" s="4" t="s">
        <v>17</v>
      </c>
      <c r="B13" s="5">
        <v>5.4108972549438477</v>
      </c>
      <c r="C13" s="5">
        <v>13.581216812133789</v>
      </c>
      <c r="D13" s="5">
        <v>15.511110305786133</v>
      </c>
      <c r="V13">
        <v>9</v>
      </c>
      <c r="W13" s="8">
        <v>370.54938511743586</v>
      </c>
      <c r="X13" s="10">
        <f t="shared" si="2"/>
        <v>365.27849943793609</v>
      </c>
      <c r="Y13" s="10">
        <f t="shared" si="0"/>
        <v>358.45326248260756</v>
      </c>
      <c r="Z13" s="10">
        <f t="shared" si="1"/>
        <v>372.10373639326463</v>
      </c>
    </row>
    <row r="14" spans="1:26" x14ac:dyDescent="0.25">
      <c r="A14" s="4" t="s">
        <v>18</v>
      </c>
      <c r="B14" s="5">
        <v>46.946853637695313</v>
      </c>
      <c r="C14" s="5">
        <v>49.376697540283203</v>
      </c>
      <c r="D14" s="5">
        <v>51.65850830078125</v>
      </c>
      <c r="E14" s="10"/>
      <c r="V14">
        <v>10</v>
      </c>
      <c r="W14" s="8">
        <v>368.07735389629045</v>
      </c>
      <c r="X14" s="10">
        <f t="shared" si="2"/>
        <v>365.27849943793609</v>
      </c>
      <c r="Y14" s="10">
        <f t="shared" si="0"/>
        <v>358.45326248260756</v>
      </c>
      <c r="Z14" s="10">
        <f t="shared" si="1"/>
        <v>372.10373639326463</v>
      </c>
    </row>
    <row r="15" spans="1:26" x14ac:dyDescent="0.25">
      <c r="A15" s="4"/>
      <c r="B15" s="5"/>
      <c r="C15" s="5"/>
      <c r="D15" s="5"/>
      <c r="V15">
        <v>11</v>
      </c>
      <c r="W15" s="8">
        <v>348.85583508098978</v>
      </c>
      <c r="X15" s="10">
        <f t="shared" si="2"/>
        <v>365.27849943793609</v>
      </c>
      <c r="Y15" s="10">
        <f t="shared" si="0"/>
        <v>358.45326248260756</v>
      </c>
      <c r="Z15" s="10">
        <f t="shared" si="1"/>
        <v>372.10373639326463</v>
      </c>
    </row>
    <row r="16" spans="1:26" x14ac:dyDescent="0.25">
      <c r="A16" s="4"/>
      <c r="B16" s="5"/>
      <c r="C16" s="5"/>
      <c r="D16" s="5"/>
      <c r="V16">
        <v>12</v>
      </c>
      <c r="W16" s="8">
        <v>358.54728712522439</v>
      </c>
      <c r="X16" s="10">
        <f t="shared" si="2"/>
        <v>365.27849943793609</v>
      </c>
      <c r="Y16" s="10">
        <f t="shared" si="0"/>
        <v>358.45326248260756</v>
      </c>
      <c r="Z16" s="10">
        <f t="shared" si="1"/>
        <v>372.10373639326463</v>
      </c>
    </row>
    <row r="17" spans="1:26" x14ac:dyDescent="0.25">
      <c r="A17" s="4"/>
      <c r="B17" s="5"/>
      <c r="C17" s="5"/>
      <c r="D17" s="5"/>
      <c r="V17">
        <v>13</v>
      </c>
      <c r="W17" s="8">
        <v>352.04757325708107</v>
      </c>
      <c r="X17" s="10">
        <f t="shared" si="2"/>
        <v>365.27849943793609</v>
      </c>
      <c r="Y17" s="10">
        <f t="shared" si="0"/>
        <v>358.45326248260756</v>
      </c>
      <c r="Z17" s="10">
        <f t="shared" si="1"/>
        <v>372.10373639326463</v>
      </c>
    </row>
    <row r="18" spans="1:26" x14ac:dyDescent="0.25">
      <c r="A18" s="4"/>
      <c r="B18" s="5"/>
      <c r="C18" s="5"/>
      <c r="D18" s="5"/>
      <c r="V18">
        <v>14</v>
      </c>
      <c r="W18" s="8">
        <v>367.02960224309624</v>
      </c>
      <c r="X18" s="10">
        <f t="shared" si="2"/>
        <v>365.27849943793609</v>
      </c>
      <c r="Y18" s="10">
        <f t="shared" si="0"/>
        <v>358.45326248260756</v>
      </c>
      <c r="Z18" s="10">
        <f t="shared" si="1"/>
        <v>372.10373639326463</v>
      </c>
    </row>
    <row r="19" spans="1:26" x14ac:dyDescent="0.25">
      <c r="A19" s="4"/>
      <c r="B19" s="5"/>
      <c r="C19" s="5"/>
      <c r="D19" s="5"/>
      <c r="V19">
        <v>15</v>
      </c>
      <c r="W19" s="8">
        <v>352.90975533254885</v>
      </c>
      <c r="X19" s="10">
        <f t="shared" si="2"/>
        <v>365.27849943793609</v>
      </c>
      <c r="Y19" s="10">
        <f t="shared" si="0"/>
        <v>358.45326248260756</v>
      </c>
      <c r="Z19" s="10">
        <f t="shared" si="1"/>
        <v>372.10373639326463</v>
      </c>
    </row>
    <row r="20" spans="1:26" x14ac:dyDescent="0.25">
      <c r="A20" s="4"/>
      <c r="B20" s="5"/>
      <c r="C20" s="5"/>
      <c r="D20" s="5"/>
      <c r="V20">
        <v>16</v>
      </c>
      <c r="W20" s="8">
        <v>360.79442176970673</v>
      </c>
      <c r="X20" s="10">
        <f t="shared" si="2"/>
        <v>365.27849943793609</v>
      </c>
      <c r="Y20" s="10">
        <f t="shared" si="0"/>
        <v>358.45326248260756</v>
      </c>
      <c r="Z20" s="10">
        <f t="shared" si="1"/>
        <v>372.10373639326463</v>
      </c>
    </row>
    <row r="21" spans="1:26" x14ac:dyDescent="0.25">
      <c r="A21" s="4"/>
      <c r="B21" s="5"/>
      <c r="C21" s="5"/>
      <c r="D21" s="5"/>
      <c r="V21">
        <v>17</v>
      </c>
      <c r="W21" s="8">
        <v>359.9511974335249</v>
      </c>
      <c r="X21" s="10">
        <f t="shared" si="2"/>
        <v>365.27849943793609</v>
      </c>
      <c r="Y21" s="10">
        <f t="shared" si="0"/>
        <v>358.45326248260756</v>
      </c>
      <c r="Z21" s="10">
        <f t="shared" si="1"/>
        <v>372.10373639326463</v>
      </c>
    </row>
    <row r="22" spans="1:26" x14ac:dyDescent="0.25">
      <c r="A22" s="4"/>
      <c r="B22" s="5"/>
      <c r="C22" s="5"/>
      <c r="D22" s="5"/>
      <c r="V22">
        <v>18</v>
      </c>
      <c r="W22" s="8">
        <v>366.72176860485683</v>
      </c>
      <c r="X22" s="10">
        <f t="shared" si="2"/>
        <v>365.27849943793609</v>
      </c>
      <c r="Y22" s="10">
        <f t="shared" si="0"/>
        <v>358.45326248260756</v>
      </c>
      <c r="Z22" s="10">
        <f t="shared" si="1"/>
        <v>372.10373639326463</v>
      </c>
    </row>
    <row r="23" spans="1:26" x14ac:dyDescent="0.25">
      <c r="A23" s="4"/>
      <c r="B23" s="5"/>
      <c r="C23" s="5"/>
      <c r="D23" s="5"/>
      <c r="V23">
        <v>19</v>
      </c>
      <c r="W23" s="8">
        <v>364.57601166870711</v>
      </c>
      <c r="X23" s="10">
        <f t="shared" si="2"/>
        <v>365.27849943793609</v>
      </c>
      <c r="Y23" s="10">
        <f t="shared" si="0"/>
        <v>358.45326248260756</v>
      </c>
      <c r="Z23" s="10">
        <f t="shared" si="1"/>
        <v>372.10373639326463</v>
      </c>
    </row>
    <row r="24" spans="1:26" x14ac:dyDescent="0.25">
      <c r="A24" s="4"/>
      <c r="B24" s="5"/>
      <c r="C24" s="5"/>
      <c r="D24" s="5"/>
      <c r="V24">
        <v>20</v>
      </c>
      <c r="W24" s="8">
        <v>362.75467719822882</v>
      </c>
      <c r="X24" s="10">
        <f t="shared" si="2"/>
        <v>365.27849943793609</v>
      </c>
      <c r="Y24" s="10">
        <f t="shared" si="0"/>
        <v>358.45326248260756</v>
      </c>
      <c r="Z24" s="10">
        <f t="shared" si="1"/>
        <v>372.10373639326463</v>
      </c>
    </row>
    <row r="25" spans="1:26" x14ac:dyDescent="0.25">
      <c r="A25" s="4"/>
      <c r="B25" s="5"/>
      <c r="C25" s="5"/>
      <c r="D25" s="5"/>
      <c r="V25">
        <v>21</v>
      </c>
      <c r="W25" s="8">
        <v>364.46292071064681</v>
      </c>
      <c r="X25" s="10">
        <f t="shared" si="2"/>
        <v>365.27849943793609</v>
      </c>
      <c r="Y25" s="10">
        <f t="shared" si="0"/>
        <v>358.45326248260756</v>
      </c>
      <c r="Z25" s="10">
        <f t="shared" si="1"/>
        <v>372.10373639326463</v>
      </c>
    </row>
    <row r="26" spans="1:26" x14ac:dyDescent="0.25">
      <c r="A26" s="4"/>
      <c r="B26" s="5"/>
      <c r="C26" s="5"/>
      <c r="D26" s="5"/>
      <c r="V26">
        <v>22</v>
      </c>
      <c r="W26" s="8">
        <v>378.02418211938232</v>
      </c>
      <c r="X26" s="10">
        <f t="shared" si="2"/>
        <v>365.27849943793609</v>
      </c>
      <c r="Y26" s="10">
        <f t="shared" si="0"/>
        <v>358.45326248260756</v>
      </c>
      <c r="Z26" s="10">
        <f t="shared" si="1"/>
        <v>372.10373639326463</v>
      </c>
    </row>
    <row r="27" spans="1:26" x14ac:dyDescent="0.25">
      <c r="A27" s="4"/>
      <c r="B27" s="5"/>
      <c r="C27" s="5"/>
      <c r="D27" s="5"/>
      <c r="V27">
        <v>23</v>
      </c>
      <c r="W27" s="8">
        <v>370.92024452559718</v>
      </c>
      <c r="X27" s="10">
        <f t="shared" si="2"/>
        <v>365.27849943793609</v>
      </c>
      <c r="Y27" s="10">
        <f t="shared" si="0"/>
        <v>358.45326248260756</v>
      </c>
      <c r="Z27" s="10">
        <f t="shared" si="1"/>
        <v>372.10373639326463</v>
      </c>
    </row>
    <row r="28" spans="1:26" x14ac:dyDescent="0.25">
      <c r="A28" s="4"/>
      <c r="B28" s="5"/>
      <c r="C28" s="5"/>
      <c r="D28" s="5"/>
      <c r="V28">
        <v>24</v>
      </c>
      <c r="W28" s="8">
        <v>365.85676875726017</v>
      </c>
      <c r="X28" s="10">
        <f t="shared" si="2"/>
        <v>365.27849943793609</v>
      </c>
      <c r="Y28" s="10">
        <f t="shared" si="0"/>
        <v>358.45326248260756</v>
      </c>
      <c r="Z28" s="10">
        <f t="shared" si="1"/>
        <v>372.10373639326463</v>
      </c>
    </row>
    <row r="29" spans="1:26" x14ac:dyDescent="0.25">
      <c r="A29" s="4"/>
      <c r="B29" s="5"/>
      <c r="C29" s="5"/>
      <c r="D29" s="5"/>
      <c r="V29">
        <v>25</v>
      </c>
      <c r="W29" s="8">
        <v>362.85787040839864</v>
      </c>
      <c r="X29" s="10">
        <f t="shared" si="2"/>
        <v>365.27849943793609</v>
      </c>
      <c r="Y29" s="10">
        <f t="shared" si="0"/>
        <v>358.45326248260756</v>
      </c>
      <c r="Z29" s="10">
        <f t="shared" si="1"/>
        <v>372.10373639326463</v>
      </c>
    </row>
    <row r="30" spans="1:26" x14ac:dyDescent="0.25">
      <c r="A30" s="4"/>
      <c r="B30" s="5"/>
      <c r="C30" s="5"/>
      <c r="D30" s="5"/>
      <c r="V30">
        <v>26</v>
      </c>
      <c r="W30" s="8">
        <v>363.72464421157451</v>
      </c>
      <c r="X30" s="10">
        <f t="shared" si="2"/>
        <v>365.27849943793609</v>
      </c>
      <c r="Y30" s="10">
        <f t="shared" si="0"/>
        <v>358.45326248260756</v>
      </c>
      <c r="Z30" s="10">
        <f t="shared" si="1"/>
        <v>372.10373639326463</v>
      </c>
    </row>
    <row r="31" spans="1:26" x14ac:dyDescent="0.25">
      <c r="A31" s="4"/>
      <c r="B31" s="5"/>
      <c r="C31" s="5"/>
      <c r="D31" s="5"/>
      <c r="V31">
        <v>27</v>
      </c>
      <c r="W31" s="8">
        <v>365.38377949348404</v>
      </c>
      <c r="X31" s="10">
        <f t="shared" si="2"/>
        <v>365.27849943793609</v>
      </c>
      <c r="Y31" s="10">
        <f t="shared" si="0"/>
        <v>358.45326248260756</v>
      </c>
      <c r="Z31" s="10">
        <f t="shared" si="1"/>
        <v>372.10373639326463</v>
      </c>
    </row>
    <row r="32" spans="1:26" x14ac:dyDescent="0.25">
      <c r="A32" s="4"/>
      <c r="B32" s="5"/>
      <c r="C32" s="5"/>
      <c r="D32" s="5"/>
      <c r="V32">
        <v>28</v>
      </c>
      <c r="W32" s="8">
        <v>363.31526381174928</v>
      </c>
      <c r="X32" s="10">
        <f t="shared" si="2"/>
        <v>365.27849943793609</v>
      </c>
      <c r="Y32" s="10">
        <f t="shared" si="0"/>
        <v>358.45326248260756</v>
      </c>
      <c r="Z32" s="10">
        <f t="shared" si="1"/>
        <v>372.10373639326463</v>
      </c>
    </row>
    <row r="33" spans="1:26" x14ac:dyDescent="0.25">
      <c r="A33" s="4"/>
      <c r="B33" s="5"/>
      <c r="C33" s="5"/>
      <c r="D33" s="5"/>
      <c r="V33">
        <v>29</v>
      </c>
      <c r="W33" s="8">
        <v>378.27119409806994</v>
      </c>
      <c r="X33" s="10">
        <f t="shared" si="2"/>
        <v>365.27849943793609</v>
      </c>
      <c r="Y33" s="10">
        <f t="shared" si="0"/>
        <v>358.45326248260756</v>
      </c>
      <c r="Z33" s="10">
        <f t="shared" si="1"/>
        <v>372.10373639326463</v>
      </c>
    </row>
    <row r="34" spans="1:26" x14ac:dyDescent="0.25">
      <c r="A34" s="4"/>
      <c r="B34" s="5"/>
      <c r="C34" s="5"/>
      <c r="D34" s="5"/>
      <c r="V34">
        <v>30</v>
      </c>
      <c r="W34" s="8">
        <v>370.29233951759966</v>
      </c>
      <c r="X34" s="10">
        <f t="shared" si="2"/>
        <v>365.27849943793609</v>
      </c>
      <c r="Y34" s="10">
        <f t="shared" si="0"/>
        <v>358.45326248260756</v>
      </c>
      <c r="Z34" s="10">
        <f t="shared" si="1"/>
        <v>372.10373639326463</v>
      </c>
    </row>
    <row r="35" spans="1:26" x14ac:dyDescent="0.25">
      <c r="A35" s="4"/>
      <c r="B35" s="5"/>
      <c r="C35" s="5"/>
      <c r="D35" s="5"/>
      <c r="V35">
        <v>31</v>
      </c>
      <c r="W35" s="8">
        <v>353.48427075478736</v>
      </c>
      <c r="X35" s="10">
        <f t="shared" si="2"/>
        <v>365.27849943793609</v>
      </c>
      <c r="Y35" s="10">
        <f t="shared" si="0"/>
        <v>358.45326248260756</v>
      </c>
      <c r="Z35" s="10">
        <f t="shared" si="1"/>
        <v>372.10373639326463</v>
      </c>
    </row>
    <row r="36" spans="1:26" x14ac:dyDescent="0.25">
      <c r="A36" s="4"/>
      <c r="B36" s="5"/>
      <c r="C36" s="5"/>
      <c r="D36" s="5"/>
      <c r="V36">
        <v>32</v>
      </c>
      <c r="W36" s="8">
        <v>364.47070156579042</v>
      </c>
      <c r="X36" s="10">
        <f t="shared" si="2"/>
        <v>365.27849943793609</v>
      </c>
      <c r="Y36" s="10">
        <f t="shared" si="0"/>
        <v>358.45326248260756</v>
      </c>
      <c r="Z36" s="10">
        <f t="shared" si="1"/>
        <v>372.10373639326463</v>
      </c>
    </row>
    <row r="37" spans="1:26" x14ac:dyDescent="0.25">
      <c r="A37" s="4"/>
      <c r="B37" s="5"/>
      <c r="C37" s="5"/>
      <c r="D37" s="5"/>
      <c r="V37">
        <v>33</v>
      </c>
      <c r="W37" s="8">
        <v>375.61146740110587</v>
      </c>
      <c r="X37" s="10">
        <f t="shared" si="2"/>
        <v>365.27849943793609</v>
      </c>
      <c r="Y37" s="10">
        <f t="shared" si="0"/>
        <v>358.45326248260756</v>
      </c>
      <c r="Z37" s="10">
        <f t="shared" si="1"/>
        <v>372.10373639326463</v>
      </c>
    </row>
    <row r="38" spans="1:26" x14ac:dyDescent="0.25">
      <c r="A38" s="4"/>
      <c r="B38" s="5"/>
      <c r="C38" s="5"/>
      <c r="D38" s="5"/>
      <c r="V38">
        <v>34</v>
      </c>
      <c r="W38" s="8">
        <v>376.79643111205968</v>
      </c>
      <c r="X38" s="10">
        <f t="shared" si="2"/>
        <v>365.27849943793609</v>
      </c>
      <c r="Y38" s="10">
        <f t="shared" si="0"/>
        <v>358.45326248260756</v>
      </c>
      <c r="Z38" s="10">
        <f t="shared" si="1"/>
        <v>372.10373639326463</v>
      </c>
    </row>
    <row r="39" spans="1:26" x14ac:dyDescent="0.25">
      <c r="A39" s="4"/>
      <c r="B39" s="5"/>
      <c r="C39" s="5"/>
      <c r="D39" s="5"/>
      <c r="V39">
        <v>35</v>
      </c>
      <c r="W39" s="8">
        <v>358.76985260447617</v>
      </c>
      <c r="X39" s="10">
        <f t="shared" si="2"/>
        <v>365.27849943793609</v>
      </c>
      <c r="Y39" s="10">
        <f t="shared" si="0"/>
        <v>358.45326248260756</v>
      </c>
      <c r="Z39" s="10">
        <f t="shared" si="1"/>
        <v>372.10373639326463</v>
      </c>
    </row>
    <row r="40" spans="1:26" x14ac:dyDescent="0.25">
      <c r="A40" s="4"/>
      <c r="B40" s="5"/>
      <c r="C40" s="5"/>
      <c r="D40" s="5"/>
      <c r="V40">
        <v>36</v>
      </c>
      <c r="W40" s="8">
        <v>355.88072939067672</v>
      </c>
      <c r="X40" s="10">
        <f t="shared" si="2"/>
        <v>365.27849943793609</v>
      </c>
      <c r="Y40" s="10">
        <f t="shared" si="0"/>
        <v>358.45326248260756</v>
      </c>
      <c r="Z40" s="10">
        <f t="shared" si="1"/>
        <v>372.10373639326463</v>
      </c>
    </row>
    <row r="41" spans="1:26" x14ac:dyDescent="0.25">
      <c r="A41" s="4"/>
      <c r="B41" s="5"/>
      <c r="C41" s="5"/>
      <c r="D41" s="5"/>
      <c r="V41">
        <v>37</v>
      </c>
      <c r="W41" s="8">
        <v>372.66674635016818</v>
      </c>
      <c r="X41" s="10">
        <f t="shared" si="2"/>
        <v>365.27849943793609</v>
      </c>
      <c r="Y41" s="10">
        <f t="shared" si="0"/>
        <v>358.45326248260756</v>
      </c>
      <c r="Z41" s="10">
        <f t="shared" si="1"/>
        <v>372.10373639326463</v>
      </c>
    </row>
    <row r="42" spans="1:26" x14ac:dyDescent="0.25">
      <c r="A42" s="4"/>
      <c r="B42" s="5"/>
      <c r="C42" s="5"/>
      <c r="D42" s="5"/>
      <c r="V42">
        <v>38</v>
      </c>
      <c r="W42" s="8">
        <v>373.95854221080435</v>
      </c>
      <c r="X42" s="10">
        <f t="shared" si="2"/>
        <v>365.27849943793609</v>
      </c>
      <c r="Y42" s="10">
        <f t="shared" si="0"/>
        <v>358.45326248260756</v>
      </c>
      <c r="Z42" s="10">
        <f t="shared" si="1"/>
        <v>372.10373639326463</v>
      </c>
    </row>
    <row r="43" spans="1:26" x14ac:dyDescent="0.25">
      <c r="A43" s="4"/>
      <c r="B43" s="5"/>
      <c r="C43" s="5"/>
      <c r="D43" s="5"/>
      <c r="V43">
        <v>39</v>
      </c>
      <c r="W43" s="8">
        <v>362.23279570784428</v>
      </c>
      <c r="X43" s="10">
        <f t="shared" si="2"/>
        <v>365.27849943793609</v>
      </c>
      <c r="Y43" s="10">
        <f t="shared" si="0"/>
        <v>358.45326248260756</v>
      </c>
      <c r="Z43" s="10">
        <f t="shared" si="1"/>
        <v>372.10373639326463</v>
      </c>
    </row>
    <row r="44" spans="1:26" x14ac:dyDescent="0.25">
      <c r="A44" s="4"/>
      <c r="B44" s="5"/>
      <c r="C44" s="5"/>
      <c r="D44" s="5"/>
      <c r="V44">
        <v>40</v>
      </c>
      <c r="W44" s="8">
        <v>365.0071584635989</v>
      </c>
      <c r="X44" s="10">
        <f t="shared" si="2"/>
        <v>365.27849943793609</v>
      </c>
      <c r="Y44" s="10">
        <f t="shared" si="0"/>
        <v>358.45326248260756</v>
      </c>
      <c r="Z44" s="10">
        <f t="shared" si="1"/>
        <v>372.10373639326463</v>
      </c>
    </row>
    <row r="45" spans="1:26" x14ac:dyDescent="0.25">
      <c r="A45" s="4"/>
      <c r="B45" s="5"/>
      <c r="C45" s="5"/>
      <c r="D45" s="5"/>
      <c r="V45">
        <v>41</v>
      </c>
      <c r="W45" s="8">
        <v>360.52865544241092</v>
      </c>
      <c r="X45" s="10">
        <f t="shared" si="2"/>
        <v>365.27849943793609</v>
      </c>
      <c r="Y45" s="10">
        <f t="shared" si="0"/>
        <v>358.45326248260756</v>
      </c>
      <c r="Z45" s="10">
        <f t="shared" si="1"/>
        <v>372.10373639326463</v>
      </c>
    </row>
    <row r="46" spans="1:26" x14ac:dyDescent="0.25">
      <c r="A46" s="4"/>
      <c r="B46" s="5"/>
      <c r="C46" s="5"/>
      <c r="D46" s="5"/>
      <c r="V46">
        <v>42</v>
      </c>
      <c r="W46" s="8">
        <v>371.16403592003769</v>
      </c>
      <c r="X46" s="10">
        <f t="shared" si="2"/>
        <v>365.27849943793609</v>
      </c>
      <c r="Y46" s="10">
        <f t="shared" si="0"/>
        <v>358.45326248260756</v>
      </c>
      <c r="Z46" s="10">
        <f t="shared" si="1"/>
        <v>372.10373639326463</v>
      </c>
    </row>
    <row r="47" spans="1:26" x14ac:dyDescent="0.25">
      <c r="A47" s="4"/>
      <c r="B47" s="5"/>
      <c r="C47" s="5"/>
      <c r="D47" s="5"/>
      <c r="V47">
        <v>43</v>
      </c>
      <c r="W47" s="8">
        <v>373.66247736017806</v>
      </c>
      <c r="X47" s="10">
        <f t="shared" si="2"/>
        <v>365.27849943793609</v>
      </c>
      <c r="Y47" s="10">
        <f t="shared" si="0"/>
        <v>358.45326248260756</v>
      </c>
      <c r="Z47" s="10">
        <f t="shared" si="1"/>
        <v>372.10373639326463</v>
      </c>
    </row>
    <row r="48" spans="1:26" x14ac:dyDescent="0.25">
      <c r="A48" s="4"/>
      <c r="B48" s="5"/>
      <c r="C48" s="5"/>
      <c r="D48" s="5"/>
      <c r="V48">
        <v>44</v>
      </c>
      <c r="W48" s="8">
        <v>354.14087081893177</v>
      </c>
      <c r="X48" s="10">
        <f t="shared" si="2"/>
        <v>365.27849943793609</v>
      </c>
      <c r="Y48" s="10">
        <f t="shared" si="0"/>
        <v>358.45326248260756</v>
      </c>
      <c r="Z48" s="10">
        <f t="shared" si="1"/>
        <v>372.10373639326463</v>
      </c>
    </row>
    <row r="49" spans="1:26" x14ac:dyDescent="0.25">
      <c r="A49" s="4"/>
      <c r="B49" s="5"/>
      <c r="C49" s="5"/>
      <c r="D49" s="5"/>
      <c r="V49">
        <v>45</v>
      </c>
      <c r="W49" s="8">
        <v>371.27345006018589</v>
      </c>
      <c r="X49" s="10">
        <f t="shared" si="2"/>
        <v>365.27849943793609</v>
      </c>
      <c r="Y49" s="10">
        <f t="shared" si="0"/>
        <v>358.45326248260756</v>
      </c>
      <c r="Z49" s="10">
        <f t="shared" si="1"/>
        <v>372.10373639326463</v>
      </c>
    </row>
    <row r="50" spans="1:26" x14ac:dyDescent="0.25">
      <c r="A50" s="4"/>
      <c r="B50" s="5"/>
      <c r="C50" s="5"/>
      <c r="D50" s="5"/>
      <c r="V50">
        <v>46</v>
      </c>
      <c r="W50" s="8">
        <v>372.4121432966158</v>
      </c>
      <c r="X50" s="10">
        <f t="shared" si="2"/>
        <v>365.27849943793609</v>
      </c>
      <c r="Y50" s="10">
        <f t="shared" si="0"/>
        <v>358.45326248260756</v>
      </c>
      <c r="Z50" s="10">
        <f t="shared" si="1"/>
        <v>372.10373639326463</v>
      </c>
    </row>
    <row r="51" spans="1:26" x14ac:dyDescent="0.25">
      <c r="A51" s="4"/>
      <c r="B51" s="5"/>
      <c r="C51" s="5"/>
      <c r="D51" s="5"/>
      <c r="V51">
        <v>47</v>
      </c>
      <c r="W51" s="8">
        <v>363.68849199522549</v>
      </c>
      <c r="X51" s="10">
        <f t="shared" si="2"/>
        <v>365.27849943793609</v>
      </c>
      <c r="Y51" s="10">
        <f t="shared" si="0"/>
        <v>358.45326248260756</v>
      </c>
      <c r="Z51" s="10">
        <f t="shared" si="1"/>
        <v>372.10373639326463</v>
      </c>
    </row>
    <row r="52" spans="1:26" x14ac:dyDescent="0.25">
      <c r="A52" s="4"/>
      <c r="B52" s="5"/>
      <c r="C52" s="5"/>
      <c r="D52" s="5"/>
      <c r="V52">
        <v>48</v>
      </c>
      <c r="W52" s="8">
        <v>354.71481694329185</v>
      </c>
      <c r="X52" s="10">
        <f t="shared" si="2"/>
        <v>365.27849943793609</v>
      </c>
      <c r="Y52" s="10">
        <f t="shared" si="0"/>
        <v>358.45326248260756</v>
      </c>
      <c r="Z52" s="10">
        <f t="shared" si="1"/>
        <v>372.10373639326463</v>
      </c>
    </row>
    <row r="53" spans="1:26" x14ac:dyDescent="0.25">
      <c r="A53" s="4"/>
      <c r="B53" s="5"/>
      <c r="C53" s="5"/>
      <c r="D53" s="5"/>
      <c r="V53">
        <v>49</v>
      </c>
      <c r="W53" s="8">
        <v>365.11708169444802</v>
      </c>
      <c r="X53" s="10">
        <f t="shared" si="2"/>
        <v>365.27849943793609</v>
      </c>
      <c r="Y53" s="10">
        <f t="shared" si="0"/>
        <v>358.45326248260756</v>
      </c>
      <c r="Z53" s="10">
        <f t="shared" si="1"/>
        <v>372.10373639326463</v>
      </c>
    </row>
    <row r="54" spans="1:26" x14ac:dyDescent="0.25">
      <c r="A54" s="4"/>
      <c r="B54" s="5"/>
      <c r="C54" s="5"/>
      <c r="D54" s="5"/>
      <c r="V54">
        <v>50</v>
      </c>
      <c r="W54" s="8">
        <v>367.40503150647794</v>
      </c>
      <c r="X54" s="10">
        <f t="shared" si="2"/>
        <v>365.27849943793609</v>
      </c>
      <c r="Y54" s="10">
        <f t="shared" si="0"/>
        <v>358.45326248260756</v>
      </c>
      <c r="Z54" s="10">
        <f t="shared" si="1"/>
        <v>372.10373639326463</v>
      </c>
    </row>
    <row r="55" spans="1:26" x14ac:dyDescent="0.25">
      <c r="A55" s="4"/>
      <c r="B55" s="5"/>
      <c r="C55" s="5"/>
      <c r="D55" s="5"/>
      <c r="V55">
        <v>51</v>
      </c>
      <c r="W55" s="8">
        <v>369.65960572327504</v>
      </c>
      <c r="X55" s="10">
        <f t="shared" si="2"/>
        <v>365.27849943793609</v>
      </c>
      <c r="Y55" s="10">
        <f t="shared" si="0"/>
        <v>358.45326248260756</v>
      </c>
      <c r="Z55" s="10">
        <f t="shared" si="1"/>
        <v>372.10373639326463</v>
      </c>
    </row>
    <row r="56" spans="1:26" x14ac:dyDescent="0.25">
      <c r="A56" s="4"/>
      <c r="B56" s="5"/>
      <c r="C56" s="5"/>
      <c r="D56" s="5"/>
      <c r="V56">
        <v>52</v>
      </c>
      <c r="W56" s="8">
        <v>367.94539511815918</v>
      </c>
      <c r="X56" s="10">
        <f t="shared" si="2"/>
        <v>365.27849943793609</v>
      </c>
      <c r="Y56" s="10">
        <f t="shared" si="0"/>
        <v>358.45326248260756</v>
      </c>
      <c r="Z56" s="10">
        <f t="shared" si="1"/>
        <v>372.10373639326463</v>
      </c>
    </row>
    <row r="57" spans="1:26" x14ac:dyDescent="0.25">
      <c r="A57" s="4"/>
      <c r="B57" s="5"/>
      <c r="C57" s="5"/>
      <c r="D57" s="5"/>
      <c r="V57">
        <v>53</v>
      </c>
      <c r="W57" s="8">
        <v>367.93911045410346</v>
      </c>
      <c r="X57" s="10">
        <f t="shared" si="2"/>
        <v>365.27849943793609</v>
      </c>
      <c r="Y57" s="10">
        <f t="shared" si="0"/>
        <v>358.45326248260756</v>
      </c>
      <c r="Z57" s="10">
        <f t="shared" si="1"/>
        <v>372.10373639326463</v>
      </c>
    </row>
    <row r="58" spans="1:26" x14ac:dyDescent="0.25">
      <c r="A58" s="4"/>
      <c r="B58" s="5"/>
      <c r="C58" s="5"/>
      <c r="D58" s="5"/>
      <c r="V58">
        <v>54</v>
      </c>
      <c r="W58" s="8">
        <v>372.34825049679478</v>
      </c>
      <c r="X58" s="10">
        <f t="shared" si="2"/>
        <v>365.27849943793609</v>
      </c>
      <c r="Y58" s="10">
        <f t="shared" si="0"/>
        <v>358.45326248260756</v>
      </c>
      <c r="Z58" s="10">
        <f t="shared" si="1"/>
        <v>372.10373639326463</v>
      </c>
    </row>
    <row r="59" spans="1:26" x14ac:dyDescent="0.25">
      <c r="A59" s="4"/>
      <c r="B59" s="5"/>
      <c r="C59" s="5"/>
      <c r="D59" s="5"/>
      <c r="V59">
        <v>55</v>
      </c>
      <c r="W59" s="8">
        <v>375.04093290628475</v>
      </c>
      <c r="X59" s="10">
        <f t="shared" si="2"/>
        <v>365.27849943793609</v>
      </c>
      <c r="Y59" s="10">
        <f t="shared" si="0"/>
        <v>358.45326248260756</v>
      </c>
      <c r="Z59" s="10">
        <f t="shared" si="1"/>
        <v>372.10373639326463</v>
      </c>
    </row>
    <row r="60" spans="1:26" x14ac:dyDescent="0.25">
      <c r="A60" s="4"/>
      <c r="B60" s="5"/>
      <c r="C60" s="5"/>
      <c r="D60" s="5"/>
      <c r="V60">
        <v>56</v>
      </c>
      <c r="W60" s="8">
        <v>349.05403043552025</v>
      </c>
      <c r="X60" s="10">
        <f t="shared" si="2"/>
        <v>365.27849943793609</v>
      </c>
      <c r="Y60" s="10">
        <f t="shared" si="0"/>
        <v>358.45326248260756</v>
      </c>
      <c r="Z60" s="10">
        <f t="shared" si="1"/>
        <v>372.10373639326463</v>
      </c>
    </row>
    <row r="61" spans="1:26" x14ac:dyDescent="0.25">
      <c r="A61" s="4"/>
      <c r="B61" s="5"/>
      <c r="C61" s="5"/>
      <c r="D61" s="5"/>
      <c r="V61">
        <v>57</v>
      </c>
      <c r="W61" s="8">
        <v>361.64509180306334</v>
      </c>
      <c r="X61" s="10">
        <f t="shared" si="2"/>
        <v>365.27849943793609</v>
      </c>
      <c r="Y61" s="10">
        <f t="shared" si="0"/>
        <v>358.45326248260756</v>
      </c>
      <c r="Z61" s="10">
        <f t="shared" si="1"/>
        <v>372.10373639326463</v>
      </c>
    </row>
    <row r="62" spans="1:26" x14ac:dyDescent="0.25">
      <c r="A62" s="4"/>
      <c r="B62" s="5"/>
      <c r="C62" s="5"/>
      <c r="D62" s="5"/>
      <c r="V62">
        <v>58</v>
      </c>
      <c r="W62" s="8">
        <v>368.17689673113051</v>
      </c>
      <c r="X62" s="10">
        <f t="shared" si="2"/>
        <v>365.27849943793609</v>
      </c>
      <c r="Y62" s="10">
        <f t="shared" si="0"/>
        <v>358.45326248260756</v>
      </c>
      <c r="Z62" s="10">
        <f t="shared" si="1"/>
        <v>372.10373639326463</v>
      </c>
    </row>
    <row r="63" spans="1:26" x14ac:dyDescent="0.25">
      <c r="A63" s="4"/>
      <c r="B63" s="5"/>
      <c r="C63" s="5"/>
      <c r="D63" s="5"/>
      <c r="V63">
        <v>59</v>
      </c>
      <c r="W63" s="8">
        <v>367.02760475877369</v>
      </c>
      <c r="X63" s="10">
        <f t="shared" si="2"/>
        <v>365.27849943793609</v>
      </c>
      <c r="Y63" s="10">
        <f t="shared" si="0"/>
        <v>358.45326248260756</v>
      </c>
      <c r="Z63" s="10">
        <f t="shared" si="1"/>
        <v>372.10373639326463</v>
      </c>
    </row>
    <row r="64" spans="1:26" x14ac:dyDescent="0.25">
      <c r="A64" s="4"/>
      <c r="B64" s="5"/>
      <c r="C64" s="5"/>
      <c r="D64" s="5"/>
      <c r="V64">
        <v>60</v>
      </c>
      <c r="W64" s="8">
        <v>361.66567416298238</v>
      </c>
      <c r="X64" s="10">
        <f t="shared" si="2"/>
        <v>365.27849943793609</v>
      </c>
      <c r="Y64" s="10">
        <f t="shared" si="0"/>
        <v>358.45326248260756</v>
      </c>
      <c r="Z64" s="10">
        <f t="shared" si="1"/>
        <v>372.10373639326463</v>
      </c>
    </row>
    <row r="65" spans="1:26" x14ac:dyDescent="0.25">
      <c r="A65" s="4"/>
      <c r="B65" s="5"/>
      <c r="C65" s="5"/>
      <c r="D65" s="5"/>
      <c r="V65">
        <v>61</v>
      </c>
      <c r="W65" s="8">
        <v>366.96537019277241</v>
      </c>
      <c r="X65" s="10">
        <f t="shared" si="2"/>
        <v>365.27849943793609</v>
      </c>
      <c r="Y65" s="10">
        <f t="shared" si="0"/>
        <v>358.45326248260756</v>
      </c>
      <c r="Z65" s="10">
        <f t="shared" si="1"/>
        <v>372.10373639326463</v>
      </c>
    </row>
    <row r="66" spans="1:26" x14ac:dyDescent="0.25">
      <c r="A66" s="4"/>
      <c r="B66" s="5"/>
      <c r="C66" s="5"/>
      <c r="D66" s="5"/>
      <c r="V66">
        <v>62</v>
      </c>
      <c r="W66" s="8">
        <v>375.37676310768319</v>
      </c>
      <c r="X66" s="10">
        <f t="shared" si="2"/>
        <v>365.27849943793609</v>
      </c>
      <c r="Y66" s="10">
        <f t="shared" si="0"/>
        <v>358.45326248260756</v>
      </c>
      <c r="Z66" s="10">
        <f t="shared" si="1"/>
        <v>372.10373639326463</v>
      </c>
    </row>
    <row r="67" spans="1:26" x14ac:dyDescent="0.25">
      <c r="A67" s="4"/>
      <c r="B67" s="5"/>
      <c r="C67" s="5"/>
      <c r="D67" s="5"/>
      <c r="V67">
        <v>63</v>
      </c>
      <c r="W67" s="8">
        <v>359.97885781779974</v>
      </c>
      <c r="X67" s="10">
        <f t="shared" si="2"/>
        <v>365.27849943793609</v>
      </c>
      <c r="Y67" s="10">
        <f t="shared" si="0"/>
        <v>358.45326248260756</v>
      </c>
      <c r="Z67" s="10">
        <f t="shared" si="1"/>
        <v>372.10373639326463</v>
      </c>
    </row>
    <row r="68" spans="1:26" x14ac:dyDescent="0.25">
      <c r="A68" s="4"/>
      <c r="B68" s="5"/>
      <c r="C68" s="5"/>
      <c r="D68" s="5"/>
      <c r="V68">
        <v>64</v>
      </c>
      <c r="W68" s="8">
        <v>369.05004399645998</v>
      </c>
      <c r="X68" s="10">
        <f t="shared" si="2"/>
        <v>365.27849943793609</v>
      </c>
      <c r="Y68" s="10">
        <f t="shared" si="0"/>
        <v>358.45326248260756</v>
      </c>
      <c r="Z68" s="10">
        <f t="shared" si="1"/>
        <v>372.10373639326463</v>
      </c>
    </row>
    <row r="69" spans="1:26" x14ac:dyDescent="0.25">
      <c r="A69" s="4"/>
      <c r="B69" s="5"/>
      <c r="C69" s="5"/>
      <c r="D69" s="5"/>
      <c r="V69">
        <v>65</v>
      </c>
      <c r="W69" s="8">
        <v>371.72015349586314</v>
      </c>
      <c r="X69" s="10">
        <f t="shared" si="2"/>
        <v>365.27849943793609</v>
      </c>
      <c r="Y69" s="10">
        <f t="shared" si="0"/>
        <v>358.45326248260756</v>
      </c>
      <c r="Z69" s="10">
        <f t="shared" si="1"/>
        <v>372.10373639326463</v>
      </c>
    </row>
    <row r="70" spans="1:26" x14ac:dyDescent="0.25">
      <c r="A70" s="4"/>
      <c r="B70" s="5"/>
      <c r="C70" s="5"/>
      <c r="D70" s="5"/>
      <c r="V70">
        <v>66</v>
      </c>
      <c r="W70" s="8">
        <v>370.48620998869279</v>
      </c>
      <c r="X70" s="10">
        <f t="shared" si="2"/>
        <v>365.27849943793609</v>
      </c>
      <c r="Y70" s="10">
        <f t="shared" ref="Y70:Y133" si="3">Y69</f>
        <v>358.45326248260756</v>
      </c>
      <c r="Z70" s="10">
        <f t="shared" ref="Z70:Z133" si="4">Z69</f>
        <v>372.10373639326463</v>
      </c>
    </row>
    <row r="71" spans="1:26" x14ac:dyDescent="0.25">
      <c r="A71" s="4"/>
      <c r="B71" s="5"/>
      <c r="C71" s="5"/>
      <c r="D71" s="5"/>
      <c r="V71">
        <v>67</v>
      </c>
      <c r="W71" s="8">
        <v>363.45436053537895</v>
      </c>
      <c r="X71" s="10">
        <f t="shared" ref="X71:X134" si="5">X70</f>
        <v>365.27849943793609</v>
      </c>
      <c r="Y71" s="10">
        <f t="shared" si="3"/>
        <v>358.45326248260756</v>
      </c>
      <c r="Z71" s="10">
        <f t="shared" si="4"/>
        <v>372.10373639326463</v>
      </c>
    </row>
    <row r="72" spans="1:26" x14ac:dyDescent="0.25">
      <c r="A72" s="4"/>
      <c r="B72" s="5"/>
      <c r="C72" s="5"/>
      <c r="D72" s="5"/>
      <c r="V72">
        <v>68</v>
      </c>
      <c r="W72" s="8">
        <v>367.3891588058039</v>
      </c>
      <c r="X72" s="10">
        <f t="shared" si="5"/>
        <v>365.27849943793609</v>
      </c>
      <c r="Y72" s="10">
        <f t="shared" si="3"/>
        <v>358.45326248260756</v>
      </c>
      <c r="Z72" s="10">
        <f t="shared" si="4"/>
        <v>372.10373639326463</v>
      </c>
    </row>
    <row r="73" spans="1:26" x14ac:dyDescent="0.25">
      <c r="A73" s="4"/>
      <c r="B73" s="5"/>
      <c r="C73" s="5"/>
      <c r="D73" s="5"/>
      <c r="V73">
        <v>69</v>
      </c>
      <c r="W73" s="8">
        <v>374.78570701687221</v>
      </c>
      <c r="X73" s="10">
        <f t="shared" si="5"/>
        <v>365.27849943793609</v>
      </c>
      <c r="Y73" s="10">
        <f t="shared" si="3"/>
        <v>358.45326248260756</v>
      </c>
      <c r="Z73" s="10">
        <f t="shared" si="4"/>
        <v>372.10373639326463</v>
      </c>
    </row>
    <row r="74" spans="1:26" x14ac:dyDescent="0.25">
      <c r="A74" s="4"/>
      <c r="B74" s="5"/>
      <c r="C74" s="5"/>
      <c r="D74" s="5"/>
      <c r="V74">
        <v>70</v>
      </c>
      <c r="W74" s="8">
        <v>359.04789350917326</v>
      </c>
      <c r="X74" s="10">
        <f t="shared" si="5"/>
        <v>365.27849943793609</v>
      </c>
      <c r="Y74" s="10">
        <f t="shared" si="3"/>
        <v>358.45326248260756</v>
      </c>
      <c r="Z74" s="10">
        <f t="shared" si="4"/>
        <v>372.10373639326463</v>
      </c>
    </row>
    <row r="75" spans="1:26" x14ac:dyDescent="0.25">
      <c r="A75" s="4"/>
      <c r="B75" s="5"/>
      <c r="C75" s="5"/>
      <c r="D75" s="5"/>
      <c r="V75">
        <v>71</v>
      </c>
      <c r="W75" s="8">
        <v>354.1178968236901</v>
      </c>
      <c r="X75" s="10">
        <f t="shared" si="5"/>
        <v>365.27849943793609</v>
      </c>
      <c r="Y75" s="10">
        <f t="shared" si="3"/>
        <v>358.45326248260756</v>
      </c>
      <c r="Z75" s="10">
        <f t="shared" si="4"/>
        <v>372.10373639326463</v>
      </c>
    </row>
    <row r="76" spans="1:26" x14ac:dyDescent="0.25">
      <c r="A76" s="4"/>
      <c r="B76" s="5"/>
      <c r="C76" s="5"/>
      <c r="D76" s="5"/>
      <c r="V76">
        <v>72</v>
      </c>
      <c r="W76" s="8">
        <v>372.70229872041432</v>
      </c>
      <c r="X76" s="10">
        <f t="shared" si="5"/>
        <v>365.27849943793609</v>
      </c>
      <c r="Y76" s="10">
        <f t="shared" si="3"/>
        <v>358.45326248260756</v>
      </c>
      <c r="Z76" s="10">
        <f t="shared" si="4"/>
        <v>372.10373639326463</v>
      </c>
    </row>
    <row r="77" spans="1:26" x14ac:dyDescent="0.25">
      <c r="A77" s="4"/>
      <c r="B77" s="5"/>
      <c r="C77" s="5"/>
      <c r="D77" s="5"/>
      <c r="V77">
        <v>73</v>
      </c>
      <c r="W77" s="8">
        <v>375.39507449924957</v>
      </c>
      <c r="X77" s="10">
        <f t="shared" si="5"/>
        <v>365.27849943793609</v>
      </c>
      <c r="Y77" s="10">
        <f t="shared" si="3"/>
        <v>358.45326248260756</v>
      </c>
      <c r="Z77" s="10">
        <f t="shared" si="4"/>
        <v>372.10373639326463</v>
      </c>
    </row>
    <row r="78" spans="1:26" x14ac:dyDescent="0.25">
      <c r="A78" s="4"/>
      <c r="B78" s="5"/>
      <c r="C78" s="5"/>
      <c r="D78" s="5"/>
      <c r="V78">
        <v>74</v>
      </c>
      <c r="W78" s="8">
        <v>356.72982570343288</v>
      </c>
      <c r="X78" s="10">
        <f t="shared" si="5"/>
        <v>365.27849943793609</v>
      </c>
      <c r="Y78" s="10">
        <f t="shared" si="3"/>
        <v>358.45326248260756</v>
      </c>
      <c r="Z78" s="10">
        <f t="shared" si="4"/>
        <v>372.10373639326463</v>
      </c>
    </row>
    <row r="79" spans="1:26" x14ac:dyDescent="0.25">
      <c r="A79" s="4"/>
      <c r="B79" s="5"/>
      <c r="C79" s="5"/>
      <c r="D79" s="5"/>
      <c r="V79">
        <v>75</v>
      </c>
      <c r="W79" s="8">
        <v>364.13178865914125</v>
      </c>
      <c r="X79" s="10">
        <f t="shared" si="5"/>
        <v>365.27849943793609</v>
      </c>
      <c r="Y79" s="10">
        <f t="shared" si="3"/>
        <v>358.45326248260756</v>
      </c>
      <c r="Z79" s="10">
        <f t="shared" si="4"/>
        <v>372.10373639326463</v>
      </c>
    </row>
    <row r="80" spans="1:26" x14ac:dyDescent="0.25">
      <c r="A80" s="4"/>
      <c r="B80" s="5"/>
      <c r="C80" s="5"/>
      <c r="D80" s="5"/>
      <c r="V80">
        <v>76</v>
      </c>
      <c r="W80" s="8">
        <v>359.76965534007013</v>
      </c>
      <c r="X80" s="10">
        <f t="shared" si="5"/>
        <v>365.27849943793609</v>
      </c>
      <c r="Y80" s="10">
        <f t="shared" si="3"/>
        <v>358.45326248260756</v>
      </c>
      <c r="Z80" s="10">
        <f t="shared" si="4"/>
        <v>372.10373639326463</v>
      </c>
    </row>
    <row r="81" spans="1:26" x14ac:dyDescent="0.25">
      <c r="A81" s="4"/>
      <c r="B81" s="5"/>
      <c r="C81" s="5"/>
      <c r="D81" s="5"/>
      <c r="V81">
        <v>77</v>
      </c>
      <c r="W81" s="8">
        <v>365.14493691560125</v>
      </c>
      <c r="X81" s="10">
        <f t="shared" si="5"/>
        <v>365.27849943793609</v>
      </c>
      <c r="Y81" s="10">
        <f t="shared" si="3"/>
        <v>358.45326248260756</v>
      </c>
      <c r="Z81" s="10">
        <f t="shared" si="4"/>
        <v>372.10373639326463</v>
      </c>
    </row>
    <row r="82" spans="1:26" x14ac:dyDescent="0.25">
      <c r="A82" s="4"/>
      <c r="B82" s="5"/>
      <c r="C82" s="5"/>
      <c r="D82" s="5"/>
      <c r="V82">
        <v>78</v>
      </c>
      <c r="W82" s="8">
        <v>369.90318141913389</v>
      </c>
      <c r="X82" s="10">
        <f t="shared" si="5"/>
        <v>365.27849943793609</v>
      </c>
      <c r="Y82" s="10">
        <f t="shared" si="3"/>
        <v>358.45326248260756</v>
      </c>
      <c r="Z82" s="10">
        <f t="shared" si="4"/>
        <v>372.10373639326463</v>
      </c>
    </row>
    <row r="83" spans="1:26" x14ac:dyDescent="0.25">
      <c r="A83" s="4"/>
      <c r="B83" s="5"/>
      <c r="C83" s="5"/>
      <c r="D83" s="5"/>
      <c r="V83">
        <v>79</v>
      </c>
      <c r="W83" s="8">
        <v>364.68745159701052</v>
      </c>
      <c r="X83" s="10">
        <f t="shared" si="5"/>
        <v>365.27849943793609</v>
      </c>
      <c r="Y83" s="10">
        <f t="shared" si="3"/>
        <v>358.45326248260756</v>
      </c>
      <c r="Z83" s="10">
        <f t="shared" si="4"/>
        <v>372.10373639326463</v>
      </c>
    </row>
    <row r="84" spans="1:26" x14ac:dyDescent="0.25">
      <c r="A84" s="4"/>
      <c r="B84" s="5"/>
      <c r="C84" s="5"/>
      <c r="D84" s="5"/>
      <c r="V84">
        <v>80</v>
      </c>
      <c r="W84" s="8">
        <v>366.33846940977293</v>
      </c>
      <c r="X84" s="10">
        <f t="shared" si="5"/>
        <v>365.27849943793609</v>
      </c>
      <c r="Y84" s="10">
        <f t="shared" si="3"/>
        <v>358.45326248260756</v>
      </c>
      <c r="Z84" s="10">
        <f t="shared" si="4"/>
        <v>372.10373639326463</v>
      </c>
    </row>
    <row r="85" spans="1:26" x14ac:dyDescent="0.25">
      <c r="A85" s="4"/>
      <c r="B85" s="5"/>
      <c r="C85" s="5"/>
      <c r="D85" s="5"/>
      <c r="V85">
        <v>81</v>
      </c>
      <c r="W85" s="8">
        <v>366.31624045271303</v>
      </c>
      <c r="X85" s="10">
        <f t="shared" si="5"/>
        <v>365.27849943793609</v>
      </c>
      <c r="Y85" s="10">
        <f t="shared" si="3"/>
        <v>358.45326248260756</v>
      </c>
      <c r="Z85" s="10">
        <f t="shared" si="4"/>
        <v>372.10373639326463</v>
      </c>
    </row>
    <row r="86" spans="1:26" x14ac:dyDescent="0.25">
      <c r="A86" s="4"/>
      <c r="B86" s="5"/>
      <c r="C86" s="5"/>
      <c r="D86" s="5"/>
      <c r="V86">
        <v>82</v>
      </c>
      <c r="W86" s="8">
        <v>354.82447025334147</v>
      </c>
      <c r="X86" s="10">
        <f t="shared" si="5"/>
        <v>365.27849943793609</v>
      </c>
      <c r="Y86" s="10">
        <f t="shared" si="3"/>
        <v>358.45326248260756</v>
      </c>
      <c r="Z86" s="10">
        <f t="shared" si="4"/>
        <v>372.10373639326463</v>
      </c>
    </row>
    <row r="87" spans="1:26" x14ac:dyDescent="0.25">
      <c r="A87" s="4"/>
      <c r="B87" s="5"/>
      <c r="C87" s="5"/>
      <c r="D87" s="5"/>
      <c r="V87">
        <v>83</v>
      </c>
      <c r="W87" s="8">
        <v>371.92184020149597</v>
      </c>
      <c r="X87" s="10">
        <f t="shared" si="5"/>
        <v>365.27849943793609</v>
      </c>
      <c r="Y87" s="10">
        <f t="shared" si="3"/>
        <v>358.45326248260756</v>
      </c>
      <c r="Z87" s="10">
        <f t="shared" si="4"/>
        <v>372.10373639326463</v>
      </c>
    </row>
    <row r="88" spans="1:26" x14ac:dyDescent="0.25">
      <c r="A88" s="4"/>
      <c r="B88" s="5"/>
      <c r="C88" s="5"/>
      <c r="D88" s="5"/>
      <c r="V88">
        <v>84</v>
      </c>
      <c r="W88" s="8">
        <v>358.46439153234456</v>
      </c>
      <c r="X88" s="10">
        <f t="shared" si="5"/>
        <v>365.27849943793609</v>
      </c>
      <c r="Y88" s="10">
        <f t="shared" si="3"/>
        <v>358.45326248260756</v>
      </c>
      <c r="Z88" s="10">
        <f t="shared" si="4"/>
        <v>372.10373639326463</v>
      </c>
    </row>
    <row r="89" spans="1:26" x14ac:dyDescent="0.25">
      <c r="A89" s="4"/>
      <c r="B89" s="5"/>
      <c r="C89" s="5"/>
      <c r="D89" s="5"/>
      <c r="V89">
        <v>85</v>
      </c>
      <c r="W89" s="8">
        <v>361.86605004800435</v>
      </c>
      <c r="X89" s="10">
        <f t="shared" si="5"/>
        <v>365.27849943793609</v>
      </c>
      <c r="Y89" s="10">
        <f t="shared" si="3"/>
        <v>358.45326248260756</v>
      </c>
      <c r="Z89" s="10">
        <f t="shared" si="4"/>
        <v>372.10373639326463</v>
      </c>
    </row>
    <row r="90" spans="1:26" x14ac:dyDescent="0.25">
      <c r="A90" s="4"/>
      <c r="B90" s="5"/>
      <c r="C90" s="5"/>
      <c r="D90" s="5"/>
      <c r="V90">
        <v>86</v>
      </c>
      <c r="W90" s="8">
        <v>365.34775806889206</v>
      </c>
      <c r="X90" s="10">
        <f t="shared" si="5"/>
        <v>365.27849943793609</v>
      </c>
      <c r="Y90" s="10">
        <f t="shared" si="3"/>
        <v>358.45326248260756</v>
      </c>
      <c r="Z90" s="10">
        <f t="shared" si="4"/>
        <v>372.10373639326463</v>
      </c>
    </row>
    <row r="91" spans="1:26" x14ac:dyDescent="0.25">
      <c r="A91" s="4"/>
      <c r="B91" s="5"/>
      <c r="C91" s="5"/>
      <c r="D91" s="5"/>
      <c r="V91">
        <v>87</v>
      </c>
      <c r="W91" s="8">
        <v>369.04454274614147</v>
      </c>
      <c r="X91" s="10">
        <f t="shared" si="5"/>
        <v>365.27849943793609</v>
      </c>
      <c r="Y91" s="10">
        <f t="shared" si="3"/>
        <v>358.45326248260756</v>
      </c>
      <c r="Z91" s="10">
        <f t="shared" si="4"/>
        <v>372.10373639326463</v>
      </c>
    </row>
    <row r="92" spans="1:26" x14ac:dyDescent="0.25">
      <c r="A92" s="4"/>
      <c r="B92" s="5"/>
      <c r="C92" s="5"/>
      <c r="D92" s="5"/>
      <c r="V92">
        <v>88</v>
      </c>
      <c r="W92" s="8">
        <v>364.9314166653154</v>
      </c>
      <c r="X92" s="10">
        <f t="shared" si="5"/>
        <v>365.27849943793609</v>
      </c>
      <c r="Y92" s="10">
        <f t="shared" si="3"/>
        <v>358.45326248260756</v>
      </c>
      <c r="Z92" s="10">
        <f t="shared" si="4"/>
        <v>372.10373639326463</v>
      </c>
    </row>
    <row r="93" spans="1:26" x14ac:dyDescent="0.25">
      <c r="A93" s="4"/>
      <c r="B93" s="5"/>
      <c r="C93" s="5"/>
      <c r="D93" s="5"/>
      <c r="V93">
        <v>89</v>
      </c>
      <c r="W93" s="8">
        <v>351.50933550239483</v>
      </c>
      <c r="X93" s="10">
        <f t="shared" si="5"/>
        <v>365.27849943793609</v>
      </c>
      <c r="Y93" s="10">
        <f t="shared" si="3"/>
        <v>358.45326248260756</v>
      </c>
      <c r="Z93" s="10">
        <f t="shared" si="4"/>
        <v>372.10373639326463</v>
      </c>
    </row>
    <row r="94" spans="1:26" x14ac:dyDescent="0.25">
      <c r="A94" s="4"/>
      <c r="B94" s="5"/>
      <c r="C94" s="5"/>
      <c r="D94" s="5"/>
      <c r="V94">
        <v>90</v>
      </c>
      <c r="W94" s="8">
        <v>361.68910006679994</v>
      </c>
      <c r="X94" s="10">
        <f t="shared" si="5"/>
        <v>365.27849943793609</v>
      </c>
      <c r="Y94" s="10">
        <f t="shared" si="3"/>
        <v>358.45326248260756</v>
      </c>
      <c r="Z94" s="10">
        <f t="shared" si="4"/>
        <v>372.10373639326463</v>
      </c>
    </row>
    <row r="95" spans="1:26" x14ac:dyDescent="0.25">
      <c r="A95" s="4"/>
      <c r="B95" s="5"/>
      <c r="C95" s="5"/>
      <c r="D95" s="5"/>
      <c r="V95">
        <v>91</v>
      </c>
      <c r="W95" s="8">
        <v>381.370487426262</v>
      </c>
      <c r="X95" s="10">
        <f t="shared" si="5"/>
        <v>365.27849943793609</v>
      </c>
      <c r="Y95" s="10">
        <f t="shared" si="3"/>
        <v>358.45326248260756</v>
      </c>
      <c r="Z95" s="10">
        <f t="shared" si="4"/>
        <v>372.10373639326463</v>
      </c>
    </row>
    <row r="96" spans="1:26" x14ac:dyDescent="0.25">
      <c r="A96" s="4"/>
      <c r="B96" s="5"/>
      <c r="C96" s="5"/>
      <c r="D96" s="5"/>
      <c r="V96">
        <v>92</v>
      </c>
      <c r="W96" s="8">
        <v>361.36166223569501</v>
      </c>
      <c r="X96" s="10">
        <f t="shared" si="5"/>
        <v>365.27849943793609</v>
      </c>
      <c r="Y96" s="10">
        <f t="shared" si="3"/>
        <v>358.45326248260756</v>
      </c>
      <c r="Z96" s="10">
        <f t="shared" si="4"/>
        <v>372.10373639326463</v>
      </c>
    </row>
    <row r="97" spans="1:26" x14ac:dyDescent="0.25">
      <c r="A97" s="4"/>
      <c r="B97" s="5"/>
      <c r="C97" s="5"/>
      <c r="D97" s="5"/>
      <c r="V97">
        <v>93</v>
      </c>
      <c r="W97" s="8">
        <v>368.41941894787021</v>
      </c>
      <c r="X97" s="10">
        <f t="shared" si="5"/>
        <v>365.27849943793609</v>
      </c>
      <c r="Y97" s="10">
        <f t="shared" si="3"/>
        <v>358.45326248260756</v>
      </c>
      <c r="Z97" s="10">
        <f t="shared" si="4"/>
        <v>372.10373639326463</v>
      </c>
    </row>
    <row r="98" spans="1:26" x14ac:dyDescent="0.25">
      <c r="A98" s="4"/>
      <c r="B98" s="5"/>
      <c r="C98" s="5"/>
      <c r="D98" s="5"/>
      <c r="V98">
        <v>94</v>
      </c>
      <c r="W98" s="8">
        <v>370.8832675690133</v>
      </c>
      <c r="X98" s="10">
        <f t="shared" si="5"/>
        <v>365.27849943793609</v>
      </c>
      <c r="Y98" s="10">
        <f t="shared" si="3"/>
        <v>358.45326248260756</v>
      </c>
      <c r="Z98" s="10">
        <f t="shared" si="4"/>
        <v>372.10373639326463</v>
      </c>
    </row>
    <row r="99" spans="1:26" x14ac:dyDescent="0.25">
      <c r="A99" s="4"/>
      <c r="B99" s="5"/>
      <c r="C99" s="5"/>
      <c r="D99" s="5"/>
      <c r="V99">
        <v>95</v>
      </c>
      <c r="W99" s="8">
        <v>353.21078533097455</v>
      </c>
      <c r="X99" s="10">
        <f t="shared" si="5"/>
        <v>365.27849943793609</v>
      </c>
      <c r="Y99" s="10">
        <f t="shared" si="3"/>
        <v>358.45326248260756</v>
      </c>
      <c r="Z99" s="10">
        <f t="shared" si="4"/>
        <v>372.10373639326463</v>
      </c>
    </row>
    <row r="100" spans="1:26" x14ac:dyDescent="0.25">
      <c r="A100" s="4"/>
      <c r="B100" s="5"/>
      <c r="C100" s="5"/>
      <c r="D100" s="5"/>
      <c r="V100">
        <v>96</v>
      </c>
      <c r="W100" s="8">
        <v>364.20841034600636</v>
      </c>
      <c r="X100" s="10">
        <f t="shared" si="5"/>
        <v>365.27849943793609</v>
      </c>
      <c r="Y100" s="10">
        <f t="shared" si="3"/>
        <v>358.45326248260756</v>
      </c>
      <c r="Z100" s="10">
        <f t="shared" si="4"/>
        <v>372.10373639326463</v>
      </c>
    </row>
    <row r="101" spans="1:26" x14ac:dyDescent="0.25">
      <c r="A101" s="4"/>
      <c r="B101" s="5"/>
      <c r="C101" s="5"/>
      <c r="D101" s="5"/>
      <c r="V101">
        <v>97</v>
      </c>
      <c r="W101" s="8">
        <v>371.8152160524993</v>
      </c>
      <c r="X101" s="10">
        <f t="shared" si="5"/>
        <v>365.27849943793609</v>
      </c>
      <c r="Y101" s="10">
        <f t="shared" si="3"/>
        <v>358.45326248260756</v>
      </c>
      <c r="Z101" s="10">
        <f t="shared" si="4"/>
        <v>372.10373639326463</v>
      </c>
    </row>
    <row r="102" spans="1:26" x14ac:dyDescent="0.25">
      <c r="A102" s="4"/>
      <c r="B102" s="5"/>
      <c r="C102" s="5"/>
      <c r="D102" s="5"/>
      <c r="V102">
        <v>98</v>
      </c>
      <c r="W102" s="8">
        <v>370.03501244837162</v>
      </c>
      <c r="X102" s="10">
        <f t="shared" si="5"/>
        <v>365.27849943793609</v>
      </c>
      <c r="Y102" s="10">
        <f t="shared" si="3"/>
        <v>358.45326248260756</v>
      </c>
      <c r="Z102" s="10">
        <f t="shared" si="4"/>
        <v>372.10373639326463</v>
      </c>
    </row>
    <row r="103" spans="1:26" x14ac:dyDescent="0.25">
      <c r="A103" s="4"/>
      <c r="B103" s="5"/>
      <c r="C103" s="5"/>
      <c r="D103" s="5"/>
      <c r="V103">
        <v>99</v>
      </c>
      <c r="W103" s="8">
        <v>348.63649709171523</v>
      </c>
      <c r="X103" s="10">
        <f t="shared" si="5"/>
        <v>365.27849943793609</v>
      </c>
      <c r="Y103" s="10">
        <f t="shared" si="3"/>
        <v>358.45326248260756</v>
      </c>
      <c r="Z103" s="10">
        <f t="shared" si="4"/>
        <v>372.10373639326463</v>
      </c>
    </row>
    <row r="104" spans="1:26" x14ac:dyDescent="0.25">
      <c r="A104" s="4"/>
      <c r="B104" s="5"/>
      <c r="C104" s="5"/>
      <c r="D104" s="5"/>
      <c r="V104">
        <v>100</v>
      </c>
      <c r="W104" s="8">
        <v>353.02955177582567</v>
      </c>
      <c r="X104" s="10">
        <f t="shared" si="5"/>
        <v>365.27849943793609</v>
      </c>
      <c r="Y104" s="10">
        <f t="shared" si="3"/>
        <v>358.45326248260756</v>
      </c>
      <c r="Z104" s="10">
        <f t="shared" si="4"/>
        <v>372.10373639326463</v>
      </c>
    </row>
    <row r="105" spans="1:26" x14ac:dyDescent="0.25">
      <c r="A105" s="4"/>
      <c r="B105" s="5"/>
      <c r="C105" s="5"/>
      <c r="D105" s="5"/>
      <c r="V105">
        <v>101</v>
      </c>
      <c r="W105" s="8">
        <v>355.73280167725721</v>
      </c>
      <c r="X105" s="10">
        <f t="shared" si="5"/>
        <v>365.27849943793609</v>
      </c>
      <c r="Y105" s="10">
        <f t="shared" si="3"/>
        <v>358.45326248260756</v>
      </c>
      <c r="Z105" s="10">
        <f t="shared" si="4"/>
        <v>372.10373639326463</v>
      </c>
    </row>
    <row r="106" spans="1:26" x14ac:dyDescent="0.25">
      <c r="A106" s="4"/>
      <c r="B106" s="5"/>
      <c r="C106" s="5"/>
      <c r="D106" s="5"/>
      <c r="V106">
        <v>102</v>
      </c>
      <c r="W106" s="8">
        <v>350.57415540146519</v>
      </c>
      <c r="X106" s="10">
        <f t="shared" si="5"/>
        <v>365.27849943793609</v>
      </c>
      <c r="Y106" s="10">
        <f t="shared" si="3"/>
        <v>358.45326248260756</v>
      </c>
      <c r="Z106" s="10">
        <f t="shared" si="4"/>
        <v>372.10373639326463</v>
      </c>
    </row>
    <row r="107" spans="1:26" x14ac:dyDescent="0.25">
      <c r="A107" s="4"/>
      <c r="B107" s="5"/>
      <c r="C107" s="5"/>
      <c r="D107" s="5"/>
      <c r="V107">
        <v>103</v>
      </c>
      <c r="W107" s="8">
        <v>370.62716792636911</v>
      </c>
      <c r="X107" s="10">
        <f t="shared" si="5"/>
        <v>365.27849943793609</v>
      </c>
      <c r="Y107" s="10">
        <f t="shared" si="3"/>
        <v>358.45326248260756</v>
      </c>
      <c r="Z107" s="10">
        <f t="shared" si="4"/>
        <v>372.10373639326463</v>
      </c>
    </row>
    <row r="108" spans="1:26" x14ac:dyDescent="0.25">
      <c r="A108" s="4"/>
      <c r="B108" s="5"/>
      <c r="C108" s="5"/>
      <c r="D108" s="5"/>
      <c r="V108">
        <v>104</v>
      </c>
      <c r="W108" s="8">
        <v>373.77166431640541</v>
      </c>
      <c r="X108" s="10">
        <f t="shared" si="5"/>
        <v>365.27849943793609</v>
      </c>
      <c r="Y108" s="10">
        <f t="shared" si="3"/>
        <v>358.45326248260756</v>
      </c>
      <c r="Z108" s="10">
        <f t="shared" si="4"/>
        <v>372.10373639326463</v>
      </c>
    </row>
    <row r="109" spans="1:26" x14ac:dyDescent="0.25">
      <c r="A109" s="4"/>
      <c r="B109" s="5"/>
      <c r="C109" s="5"/>
      <c r="D109" s="5"/>
      <c r="V109">
        <v>105</v>
      </c>
      <c r="W109" s="8">
        <v>366.95471914726335</v>
      </c>
      <c r="X109" s="10">
        <f t="shared" si="5"/>
        <v>365.27849943793609</v>
      </c>
      <c r="Y109" s="10">
        <f t="shared" si="3"/>
        <v>358.45326248260756</v>
      </c>
      <c r="Z109" s="10">
        <f t="shared" si="4"/>
        <v>372.10373639326463</v>
      </c>
    </row>
    <row r="110" spans="1:26" x14ac:dyDescent="0.25">
      <c r="A110" s="4"/>
      <c r="B110" s="5"/>
      <c r="C110" s="5"/>
      <c r="D110" s="5"/>
      <c r="V110">
        <v>106</v>
      </c>
      <c r="W110" s="8">
        <v>361.99200863944736</v>
      </c>
      <c r="X110" s="10">
        <f t="shared" si="5"/>
        <v>365.27849943793609</v>
      </c>
      <c r="Y110" s="10">
        <f t="shared" si="3"/>
        <v>358.45326248260756</v>
      </c>
      <c r="Z110" s="10">
        <f t="shared" si="4"/>
        <v>372.10373639326463</v>
      </c>
    </row>
    <row r="111" spans="1:26" x14ac:dyDescent="0.25">
      <c r="A111" s="4"/>
      <c r="B111" s="5"/>
      <c r="C111" s="5"/>
      <c r="D111" s="5"/>
      <c r="V111">
        <v>107</v>
      </c>
      <c r="W111" s="8">
        <v>361.76209157387802</v>
      </c>
      <c r="X111" s="10">
        <f t="shared" si="5"/>
        <v>365.27849943793609</v>
      </c>
      <c r="Y111" s="10">
        <f t="shared" si="3"/>
        <v>358.45326248260756</v>
      </c>
      <c r="Z111" s="10">
        <f t="shared" si="4"/>
        <v>372.10373639326463</v>
      </c>
    </row>
    <row r="112" spans="1:26" x14ac:dyDescent="0.25">
      <c r="A112" s="4"/>
      <c r="B112" s="5"/>
      <c r="C112" s="5"/>
      <c r="D112" s="5"/>
      <c r="V112">
        <v>108</v>
      </c>
      <c r="W112" s="8">
        <v>370.2957470990404</v>
      </c>
      <c r="X112" s="10">
        <f t="shared" si="5"/>
        <v>365.27849943793609</v>
      </c>
      <c r="Y112" s="10">
        <f t="shared" si="3"/>
        <v>358.45326248260756</v>
      </c>
      <c r="Z112" s="10">
        <f t="shared" si="4"/>
        <v>372.10373639326463</v>
      </c>
    </row>
    <row r="113" spans="1:26" x14ac:dyDescent="0.25">
      <c r="A113" s="4"/>
      <c r="B113" s="5"/>
      <c r="C113" s="5"/>
      <c r="D113" s="5"/>
      <c r="V113">
        <v>109</v>
      </c>
      <c r="W113" s="8">
        <v>369.03098470998628</v>
      </c>
      <c r="X113" s="10">
        <f t="shared" si="5"/>
        <v>365.27849943793609</v>
      </c>
      <c r="Y113" s="10">
        <f t="shared" si="3"/>
        <v>358.45326248260756</v>
      </c>
      <c r="Z113" s="10">
        <f t="shared" si="4"/>
        <v>372.10373639326463</v>
      </c>
    </row>
    <row r="114" spans="1:26" x14ac:dyDescent="0.25">
      <c r="A114" s="4"/>
      <c r="B114" s="5"/>
      <c r="C114" s="5"/>
      <c r="D114" s="5"/>
      <c r="V114">
        <v>110</v>
      </c>
      <c r="W114" s="8">
        <v>363.72027971557907</v>
      </c>
      <c r="X114" s="10">
        <f t="shared" si="5"/>
        <v>365.27849943793609</v>
      </c>
      <c r="Y114" s="10">
        <f t="shared" si="3"/>
        <v>358.45326248260756</v>
      </c>
      <c r="Z114" s="10">
        <f t="shared" si="4"/>
        <v>372.10373639326463</v>
      </c>
    </row>
    <row r="115" spans="1:26" x14ac:dyDescent="0.25">
      <c r="A115" s="4"/>
      <c r="B115" s="5"/>
      <c r="C115" s="5"/>
      <c r="D115" s="5"/>
      <c r="V115">
        <v>111</v>
      </c>
      <c r="W115" s="8">
        <v>366.54167945816585</v>
      </c>
      <c r="X115" s="10">
        <f t="shared" si="5"/>
        <v>365.27849943793609</v>
      </c>
      <c r="Y115" s="10">
        <f t="shared" si="3"/>
        <v>358.45326248260756</v>
      </c>
      <c r="Z115" s="10">
        <f t="shared" si="4"/>
        <v>372.10373639326463</v>
      </c>
    </row>
    <row r="116" spans="1:26" x14ac:dyDescent="0.25">
      <c r="A116" s="4"/>
      <c r="B116" s="5"/>
      <c r="C116" s="5"/>
      <c r="D116" s="5"/>
      <c r="V116">
        <v>112</v>
      </c>
      <c r="W116" s="8">
        <v>360.69512079159239</v>
      </c>
      <c r="X116" s="10">
        <f t="shared" si="5"/>
        <v>365.27849943793609</v>
      </c>
      <c r="Y116" s="10">
        <f t="shared" si="3"/>
        <v>358.45326248260756</v>
      </c>
      <c r="Z116" s="10">
        <f t="shared" si="4"/>
        <v>372.10373639326463</v>
      </c>
    </row>
    <row r="117" spans="1:26" x14ac:dyDescent="0.25">
      <c r="A117" s="4"/>
      <c r="B117" s="5"/>
      <c r="C117" s="5"/>
      <c r="D117" s="5"/>
      <c r="V117">
        <v>113</v>
      </c>
      <c r="W117" s="8">
        <v>360.12739984319165</v>
      </c>
      <c r="X117" s="10">
        <f t="shared" si="5"/>
        <v>365.27849943793609</v>
      </c>
      <c r="Y117" s="10">
        <f t="shared" si="3"/>
        <v>358.45326248260756</v>
      </c>
      <c r="Z117" s="10">
        <f t="shared" si="4"/>
        <v>372.10373639326463</v>
      </c>
    </row>
    <row r="118" spans="1:26" x14ac:dyDescent="0.25">
      <c r="A118" s="4"/>
      <c r="B118" s="5"/>
      <c r="C118" s="5"/>
      <c r="D118" s="5"/>
      <c r="V118">
        <v>114</v>
      </c>
      <c r="W118" s="8">
        <v>362.29519992015088</v>
      </c>
      <c r="X118" s="10">
        <f t="shared" si="5"/>
        <v>365.27849943793609</v>
      </c>
      <c r="Y118" s="10">
        <f t="shared" si="3"/>
        <v>358.45326248260756</v>
      </c>
      <c r="Z118" s="10">
        <f t="shared" si="4"/>
        <v>372.10373639326463</v>
      </c>
    </row>
    <row r="119" spans="1:26" x14ac:dyDescent="0.25">
      <c r="A119" s="4"/>
      <c r="B119" s="5"/>
      <c r="C119" s="5"/>
      <c r="D119" s="5"/>
      <c r="V119">
        <v>115</v>
      </c>
      <c r="W119" s="8">
        <v>365.27588232627954</v>
      </c>
      <c r="X119" s="10">
        <f t="shared" si="5"/>
        <v>365.27849943793609</v>
      </c>
      <c r="Y119" s="10">
        <f t="shared" si="3"/>
        <v>358.45326248260756</v>
      </c>
      <c r="Z119" s="10">
        <f t="shared" si="4"/>
        <v>372.10373639326463</v>
      </c>
    </row>
    <row r="120" spans="1:26" x14ac:dyDescent="0.25">
      <c r="A120" s="4"/>
      <c r="B120" s="5"/>
      <c r="C120" s="5"/>
      <c r="D120" s="5"/>
      <c r="V120">
        <v>116</v>
      </c>
      <c r="W120" s="8">
        <v>356.97593910392607</v>
      </c>
      <c r="X120" s="10">
        <f t="shared" si="5"/>
        <v>365.27849943793609</v>
      </c>
      <c r="Y120" s="10">
        <f t="shared" si="3"/>
        <v>358.45326248260756</v>
      </c>
      <c r="Z120" s="10">
        <f t="shared" si="4"/>
        <v>372.10373639326463</v>
      </c>
    </row>
    <row r="121" spans="1:26" x14ac:dyDescent="0.25">
      <c r="A121" s="4"/>
      <c r="B121" s="5"/>
      <c r="C121" s="5"/>
      <c r="D121" s="5"/>
      <c r="V121">
        <v>117</v>
      </c>
      <c r="W121" s="8">
        <v>359.23407670835957</v>
      </c>
      <c r="X121" s="10">
        <f t="shared" si="5"/>
        <v>365.27849943793609</v>
      </c>
      <c r="Y121" s="10">
        <f t="shared" si="3"/>
        <v>358.45326248260756</v>
      </c>
      <c r="Z121" s="10">
        <f t="shared" si="4"/>
        <v>372.10373639326463</v>
      </c>
    </row>
    <row r="122" spans="1:26" x14ac:dyDescent="0.25">
      <c r="A122" s="4"/>
      <c r="B122" s="5"/>
      <c r="C122" s="5"/>
      <c r="D122" s="5"/>
      <c r="V122">
        <v>118</v>
      </c>
      <c r="W122" s="8">
        <v>362.30030648259498</v>
      </c>
      <c r="X122" s="10">
        <f t="shared" si="5"/>
        <v>365.27849943793609</v>
      </c>
      <c r="Y122" s="10">
        <f t="shared" si="3"/>
        <v>358.45326248260756</v>
      </c>
      <c r="Z122" s="10">
        <f t="shared" si="4"/>
        <v>372.10373639326463</v>
      </c>
    </row>
    <row r="123" spans="1:26" x14ac:dyDescent="0.25">
      <c r="A123" s="4"/>
      <c r="B123" s="5"/>
      <c r="C123" s="5"/>
      <c r="D123" s="5"/>
      <c r="V123">
        <v>119</v>
      </c>
      <c r="W123" s="8">
        <v>363.35107127523429</v>
      </c>
      <c r="X123" s="10">
        <f t="shared" si="5"/>
        <v>365.27849943793609</v>
      </c>
      <c r="Y123" s="10">
        <f t="shared" si="3"/>
        <v>358.45326248260756</v>
      </c>
      <c r="Z123" s="10">
        <f t="shared" si="4"/>
        <v>372.10373639326463</v>
      </c>
    </row>
    <row r="124" spans="1:26" x14ac:dyDescent="0.25">
      <c r="A124" s="4"/>
      <c r="B124" s="5"/>
      <c r="C124" s="5"/>
      <c r="D124" s="5"/>
      <c r="V124">
        <v>120</v>
      </c>
      <c r="W124" s="8">
        <v>356.40464805421078</v>
      </c>
      <c r="X124" s="10">
        <f t="shared" si="5"/>
        <v>365.27849943793609</v>
      </c>
      <c r="Y124" s="10">
        <f t="shared" si="3"/>
        <v>358.45326248260756</v>
      </c>
      <c r="Z124" s="10">
        <f t="shared" si="4"/>
        <v>372.10373639326463</v>
      </c>
    </row>
    <row r="125" spans="1:26" x14ac:dyDescent="0.25">
      <c r="A125" s="4"/>
      <c r="B125" s="5"/>
      <c r="C125" s="5"/>
      <c r="D125" s="5"/>
      <c r="V125">
        <v>121</v>
      </c>
      <c r="W125" s="8">
        <v>365.4416156552428</v>
      </c>
      <c r="X125" s="10">
        <f t="shared" si="5"/>
        <v>365.27849943793609</v>
      </c>
      <c r="Y125" s="10">
        <f t="shared" si="3"/>
        <v>358.45326248260756</v>
      </c>
      <c r="Z125" s="10">
        <f t="shared" si="4"/>
        <v>372.10373639326463</v>
      </c>
    </row>
    <row r="126" spans="1:26" x14ac:dyDescent="0.25">
      <c r="A126" s="4"/>
      <c r="B126" s="5"/>
      <c r="C126" s="5"/>
      <c r="D126" s="5"/>
      <c r="V126">
        <v>122</v>
      </c>
      <c r="W126" s="8">
        <v>357.09544363242389</v>
      </c>
      <c r="X126" s="10">
        <f t="shared" si="5"/>
        <v>365.27849943793609</v>
      </c>
      <c r="Y126" s="10">
        <f t="shared" si="3"/>
        <v>358.45326248260756</v>
      </c>
      <c r="Z126" s="10">
        <f t="shared" si="4"/>
        <v>372.10373639326463</v>
      </c>
    </row>
    <row r="127" spans="1:26" x14ac:dyDescent="0.25">
      <c r="A127" s="4"/>
      <c r="B127" s="5"/>
      <c r="C127" s="5"/>
      <c r="D127" s="5"/>
      <c r="V127">
        <v>123</v>
      </c>
      <c r="W127" s="8">
        <v>360.37941273571045</v>
      </c>
      <c r="X127" s="10">
        <f t="shared" si="5"/>
        <v>365.27849943793609</v>
      </c>
      <c r="Y127" s="10">
        <f t="shared" si="3"/>
        <v>358.45326248260756</v>
      </c>
      <c r="Z127" s="10">
        <f t="shared" si="4"/>
        <v>372.10373639326463</v>
      </c>
    </row>
    <row r="128" spans="1:26" x14ac:dyDescent="0.25">
      <c r="A128" s="4"/>
      <c r="B128" s="5"/>
      <c r="C128" s="5"/>
      <c r="D128" s="5"/>
      <c r="V128">
        <v>124</v>
      </c>
      <c r="W128" s="8">
        <v>364.06784074046811</v>
      </c>
      <c r="X128" s="10">
        <f t="shared" si="5"/>
        <v>365.27849943793609</v>
      </c>
      <c r="Y128" s="10">
        <f t="shared" si="3"/>
        <v>358.45326248260756</v>
      </c>
      <c r="Z128" s="10">
        <f t="shared" si="4"/>
        <v>372.10373639326463</v>
      </c>
    </row>
    <row r="129" spans="1:26" x14ac:dyDescent="0.25">
      <c r="A129" s="4"/>
      <c r="B129" s="5"/>
      <c r="C129" s="5"/>
      <c r="D129" s="5"/>
      <c r="V129">
        <v>125</v>
      </c>
      <c r="W129" s="8">
        <v>375.41325753962036</v>
      </c>
      <c r="X129" s="10">
        <f t="shared" si="5"/>
        <v>365.27849943793609</v>
      </c>
      <c r="Y129" s="10">
        <f t="shared" si="3"/>
        <v>358.45326248260756</v>
      </c>
      <c r="Z129" s="10">
        <f t="shared" si="4"/>
        <v>372.10373639326463</v>
      </c>
    </row>
    <row r="130" spans="1:26" x14ac:dyDescent="0.25">
      <c r="A130" s="4"/>
      <c r="B130" s="5"/>
      <c r="C130" s="5"/>
      <c r="D130" s="5"/>
      <c r="V130">
        <v>126</v>
      </c>
      <c r="W130" s="8">
        <v>373.81757677986599</v>
      </c>
      <c r="X130" s="10">
        <f t="shared" si="5"/>
        <v>365.27849943793609</v>
      </c>
      <c r="Y130" s="10">
        <f t="shared" si="3"/>
        <v>358.45326248260756</v>
      </c>
      <c r="Z130" s="10">
        <f t="shared" si="4"/>
        <v>372.10373639326463</v>
      </c>
    </row>
    <row r="131" spans="1:26" x14ac:dyDescent="0.25">
      <c r="A131" s="4"/>
      <c r="B131" s="5"/>
      <c r="C131" s="5"/>
      <c r="D131" s="5"/>
      <c r="V131">
        <v>127</v>
      </c>
      <c r="W131" s="8">
        <v>359.46893728166577</v>
      </c>
      <c r="X131" s="10">
        <f t="shared" si="5"/>
        <v>365.27849943793609</v>
      </c>
      <c r="Y131" s="10">
        <f t="shared" si="3"/>
        <v>358.45326248260756</v>
      </c>
      <c r="Z131" s="10">
        <f t="shared" si="4"/>
        <v>372.10373639326463</v>
      </c>
    </row>
    <row r="132" spans="1:26" x14ac:dyDescent="0.25">
      <c r="A132" s="4"/>
      <c r="B132" s="5"/>
      <c r="C132" s="5"/>
      <c r="D132" s="5"/>
      <c r="V132">
        <v>128</v>
      </c>
      <c r="W132" s="8">
        <v>376.78710104827479</v>
      </c>
      <c r="X132" s="10">
        <f t="shared" si="5"/>
        <v>365.27849943793609</v>
      </c>
      <c r="Y132" s="10">
        <f t="shared" si="3"/>
        <v>358.45326248260756</v>
      </c>
      <c r="Z132" s="10">
        <f t="shared" si="4"/>
        <v>372.10373639326463</v>
      </c>
    </row>
    <row r="133" spans="1:26" x14ac:dyDescent="0.25">
      <c r="A133" s="4"/>
      <c r="B133" s="5"/>
      <c r="C133" s="5"/>
      <c r="D133" s="5"/>
      <c r="V133">
        <v>129</v>
      </c>
      <c r="W133" s="8">
        <v>362.88984423609094</v>
      </c>
      <c r="X133" s="10">
        <f t="shared" si="5"/>
        <v>365.27849943793609</v>
      </c>
      <c r="Y133" s="10">
        <f t="shared" si="3"/>
        <v>358.45326248260756</v>
      </c>
      <c r="Z133" s="10">
        <f t="shared" si="4"/>
        <v>372.10373639326463</v>
      </c>
    </row>
    <row r="134" spans="1:26" x14ac:dyDescent="0.25">
      <c r="A134" s="4"/>
      <c r="B134" s="5"/>
      <c r="C134" s="5"/>
      <c r="D134" s="5"/>
      <c r="V134">
        <v>130</v>
      </c>
      <c r="W134" s="8">
        <v>365.51874279722722</v>
      </c>
      <c r="X134" s="10">
        <f t="shared" si="5"/>
        <v>365.27849943793609</v>
      </c>
      <c r="Y134" s="10">
        <f t="shared" ref="Y134:Y197" si="6">Y133</f>
        <v>358.45326248260756</v>
      </c>
      <c r="Z134" s="10">
        <f t="shared" ref="Z134:Z197" si="7">Z133</f>
        <v>372.10373639326463</v>
      </c>
    </row>
    <row r="135" spans="1:26" x14ac:dyDescent="0.25">
      <c r="A135" s="4"/>
      <c r="B135" s="5"/>
      <c r="C135" s="5"/>
      <c r="D135" s="5"/>
      <c r="V135">
        <v>131</v>
      </c>
      <c r="W135" s="8">
        <v>365.9271858156784</v>
      </c>
      <c r="X135" s="10">
        <f t="shared" ref="X135:X198" si="8">X134</f>
        <v>365.27849943793609</v>
      </c>
      <c r="Y135" s="10">
        <f t="shared" si="6"/>
        <v>358.45326248260756</v>
      </c>
      <c r="Z135" s="10">
        <f t="shared" si="7"/>
        <v>372.10373639326463</v>
      </c>
    </row>
    <row r="136" spans="1:26" x14ac:dyDescent="0.25">
      <c r="A136" s="4"/>
      <c r="B136" s="5"/>
      <c r="C136" s="5"/>
      <c r="D136" s="5"/>
      <c r="V136">
        <v>132</v>
      </c>
      <c r="W136" s="8">
        <v>365.53748451980226</v>
      </c>
      <c r="X136" s="10">
        <f t="shared" si="8"/>
        <v>365.27849943793609</v>
      </c>
      <c r="Y136" s="10">
        <f t="shared" si="6"/>
        <v>358.45326248260756</v>
      </c>
      <c r="Z136" s="10">
        <f t="shared" si="7"/>
        <v>372.10373639326463</v>
      </c>
    </row>
    <row r="137" spans="1:26" x14ac:dyDescent="0.25">
      <c r="A137" s="4"/>
      <c r="B137" s="5"/>
      <c r="C137" s="5"/>
      <c r="D137" s="5"/>
      <c r="V137">
        <v>133</v>
      </c>
      <c r="W137" s="8">
        <v>363.01689599130771</v>
      </c>
      <c r="X137" s="10">
        <f t="shared" si="8"/>
        <v>365.27849943793609</v>
      </c>
      <c r="Y137" s="10">
        <f t="shared" si="6"/>
        <v>358.45326248260756</v>
      </c>
      <c r="Z137" s="10">
        <f t="shared" si="7"/>
        <v>372.10373639326463</v>
      </c>
    </row>
    <row r="138" spans="1:26" x14ac:dyDescent="0.25">
      <c r="A138" s="4"/>
      <c r="B138" s="5"/>
      <c r="C138" s="5"/>
      <c r="D138" s="5"/>
      <c r="V138">
        <v>134</v>
      </c>
      <c r="W138" s="8">
        <v>368.35389582619803</v>
      </c>
      <c r="X138" s="10">
        <f t="shared" si="8"/>
        <v>365.27849943793609</v>
      </c>
      <c r="Y138" s="10">
        <f t="shared" si="6"/>
        <v>358.45326248260756</v>
      </c>
      <c r="Z138" s="10">
        <f t="shared" si="7"/>
        <v>372.10373639326463</v>
      </c>
    </row>
    <row r="139" spans="1:26" x14ac:dyDescent="0.25">
      <c r="A139" s="4"/>
      <c r="B139" s="5"/>
      <c r="C139" s="5"/>
      <c r="D139" s="5"/>
      <c r="V139">
        <v>135</v>
      </c>
      <c r="W139" s="8">
        <v>365.37871934165724</v>
      </c>
      <c r="X139" s="10">
        <f t="shared" si="8"/>
        <v>365.27849943793609</v>
      </c>
      <c r="Y139" s="10">
        <f t="shared" si="6"/>
        <v>358.45326248260756</v>
      </c>
      <c r="Z139" s="10">
        <f t="shared" si="7"/>
        <v>372.10373639326463</v>
      </c>
    </row>
    <row r="140" spans="1:26" x14ac:dyDescent="0.25">
      <c r="A140" s="4"/>
      <c r="B140" s="5"/>
      <c r="C140" s="5"/>
      <c r="D140" s="5"/>
      <c r="V140">
        <v>136</v>
      </c>
      <c r="W140" s="8">
        <v>377.28903562995487</v>
      </c>
      <c r="X140" s="10">
        <f t="shared" si="8"/>
        <v>365.27849943793609</v>
      </c>
      <c r="Y140" s="10">
        <f t="shared" si="6"/>
        <v>358.45326248260756</v>
      </c>
      <c r="Z140" s="10">
        <f t="shared" si="7"/>
        <v>372.10373639326463</v>
      </c>
    </row>
    <row r="141" spans="1:26" x14ac:dyDescent="0.25">
      <c r="A141" s="4"/>
      <c r="B141" s="5"/>
      <c r="C141" s="5"/>
      <c r="D141" s="5"/>
      <c r="V141">
        <v>137</v>
      </c>
      <c r="W141" s="8">
        <v>364.88207894090334</v>
      </c>
      <c r="X141" s="10">
        <f t="shared" si="8"/>
        <v>365.27849943793609</v>
      </c>
      <c r="Y141" s="10">
        <f t="shared" si="6"/>
        <v>358.45326248260756</v>
      </c>
      <c r="Z141" s="10">
        <f t="shared" si="7"/>
        <v>372.10373639326463</v>
      </c>
    </row>
    <row r="142" spans="1:26" x14ac:dyDescent="0.25">
      <c r="A142" s="4"/>
      <c r="B142" s="5"/>
      <c r="C142" s="5"/>
      <c r="D142" s="5"/>
      <c r="V142">
        <v>138</v>
      </c>
      <c r="W142" s="8">
        <v>375.81609942696861</v>
      </c>
      <c r="X142" s="10">
        <f t="shared" si="8"/>
        <v>365.27849943793609</v>
      </c>
      <c r="Y142" s="10">
        <f t="shared" si="6"/>
        <v>358.45326248260756</v>
      </c>
      <c r="Z142" s="10">
        <f t="shared" si="7"/>
        <v>372.10373639326463</v>
      </c>
    </row>
    <row r="143" spans="1:26" x14ac:dyDescent="0.25">
      <c r="A143" s="4"/>
      <c r="B143" s="5"/>
      <c r="C143" s="5"/>
      <c r="D143" s="5"/>
      <c r="V143">
        <v>139</v>
      </c>
      <c r="W143" s="8">
        <v>365.4532509648987</v>
      </c>
      <c r="X143" s="10">
        <f t="shared" si="8"/>
        <v>365.27849943793609</v>
      </c>
      <c r="Y143" s="10">
        <f t="shared" si="6"/>
        <v>358.45326248260756</v>
      </c>
      <c r="Z143" s="10">
        <f t="shared" si="7"/>
        <v>372.10373639326463</v>
      </c>
    </row>
    <row r="144" spans="1:26" x14ac:dyDescent="0.25">
      <c r="A144" s="4"/>
      <c r="B144" s="5"/>
      <c r="C144" s="5"/>
      <c r="D144" s="5"/>
      <c r="V144">
        <v>140</v>
      </c>
      <c r="W144" s="8">
        <v>373.92123801726143</v>
      </c>
      <c r="X144" s="10">
        <f t="shared" si="8"/>
        <v>365.27849943793609</v>
      </c>
      <c r="Y144" s="10">
        <f t="shared" si="6"/>
        <v>358.45326248260756</v>
      </c>
      <c r="Z144" s="10">
        <f t="shared" si="7"/>
        <v>372.10373639326463</v>
      </c>
    </row>
    <row r="145" spans="1:26" x14ac:dyDescent="0.25">
      <c r="A145" s="4"/>
      <c r="B145" s="5"/>
      <c r="C145" s="5"/>
      <c r="D145" s="5"/>
      <c r="V145">
        <v>141</v>
      </c>
      <c r="W145" s="8">
        <v>373.51713205224047</v>
      </c>
      <c r="X145" s="10">
        <f t="shared" si="8"/>
        <v>365.27849943793609</v>
      </c>
      <c r="Y145" s="10">
        <f t="shared" si="6"/>
        <v>358.45326248260756</v>
      </c>
      <c r="Z145" s="10">
        <f t="shared" si="7"/>
        <v>372.10373639326463</v>
      </c>
    </row>
    <row r="146" spans="1:26" x14ac:dyDescent="0.25">
      <c r="A146" s="4"/>
      <c r="B146" s="5"/>
      <c r="C146" s="5"/>
      <c r="D146" s="5"/>
      <c r="V146">
        <v>142</v>
      </c>
      <c r="W146" s="8">
        <v>367.48427468226464</v>
      </c>
      <c r="X146" s="10">
        <f t="shared" si="8"/>
        <v>365.27849943793609</v>
      </c>
      <c r="Y146" s="10">
        <f t="shared" si="6"/>
        <v>358.45326248260756</v>
      </c>
      <c r="Z146" s="10">
        <f t="shared" si="7"/>
        <v>372.10373639326463</v>
      </c>
    </row>
    <row r="147" spans="1:26" x14ac:dyDescent="0.25">
      <c r="A147" s="4"/>
      <c r="B147" s="5"/>
      <c r="C147" s="5"/>
      <c r="D147" s="5"/>
      <c r="V147">
        <v>143</v>
      </c>
      <c r="W147" s="8">
        <v>365.74971215803112</v>
      </c>
      <c r="X147" s="10">
        <f t="shared" si="8"/>
        <v>365.27849943793609</v>
      </c>
      <c r="Y147" s="10">
        <f t="shared" si="6"/>
        <v>358.45326248260756</v>
      </c>
      <c r="Z147" s="10">
        <f t="shared" si="7"/>
        <v>372.10373639326463</v>
      </c>
    </row>
    <row r="148" spans="1:26" x14ac:dyDescent="0.25">
      <c r="A148" s="4"/>
      <c r="B148" s="5"/>
      <c r="C148" s="5"/>
      <c r="D148" s="5"/>
      <c r="V148">
        <v>144</v>
      </c>
      <c r="W148" s="8">
        <v>361.49007878150189</v>
      </c>
      <c r="X148" s="10">
        <f t="shared" si="8"/>
        <v>365.27849943793609</v>
      </c>
      <c r="Y148" s="10">
        <f t="shared" si="6"/>
        <v>358.45326248260756</v>
      </c>
      <c r="Z148" s="10">
        <f t="shared" si="7"/>
        <v>372.10373639326463</v>
      </c>
    </row>
    <row r="149" spans="1:26" x14ac:dyDescent="0.25">
      <c r="A149" s="4"/>
      <c r="B149" s="5"/>
      <c r="C149" s="5"/>
      <c r="D149" s="5"/>
      <c r="V149">
        <v>145</v>
      </c>
      <c r="W149" s="8">
        <v>355.25052952040016</v>
      </c>
      <c r="X149" s="10">
        <f t="shared" si="8"/>
        <v>365.27849943793609</v>
      </c>
      <c r="Y149" s="10">
        <f t="shared" si="6"/>
        <v>358.45326248260756</v>
      </c>
      <c r="Z149" s="10">
        <f t="shared" si="7"/>
        <v>372.10373639326463</v>
      </c>
    </row>
    <row r="150" spans="1:26" x14ac:dyDescent="0.25">
      <c r="A150" s="4"/>
      <c r="B150" s="5"/>
      <c r="C150" s="5"/>
      <c r="D150" s="5"/>
      <c r="V150">
        <v>146</v>
      </c>
      <c r="W150" s="8">
        <v>377.01243633508545</v>
      </c>
      <c r="X150" s="10">
        <f t="shared" si="8"/>
        <v>365.27849943793609</v>
      </c>
      <c r="Y150" s="10">
        <f t="shared" si="6"/>
        <v>358.45326248260756</v>
      </c>
      <c r="Z150" s="10">
        <f t="shared" si="7"/>
        <v>372.10373639326463</v>
      </c>
    </row>
    <row r="151" spans="1:26" x14ac:dyDescent="0.25">
      <c r="A151" s="4"/>
      <c r="B151" s="5"/>
      <c r="C151" s="5"/>
      <c r="D151" s="5"/>
      <c r="V151">
        <v>147</v>
      </c>
      <c r="W151" s="8">
        <v>358.16850017151222</v>
      </c>
      <c r="X151" s="10">
        <f t="shared" si="8"/>
        <v>365.27849943793609</v>
      </c>
      <c r="Y151" s="10">
        <f t="shared" si="6"/>
        <v>358.45326248260756</v>
      </c>
      <c r="Z151" s="10">
        <f t="shared" si="7"/>
        <v>372.10373639326463</v>
      </c>
    </row>
    <row r="152" spans="1:26" x14ac:dyDescent="0.25">
      <c r="A152" s="4"/>
      <c r="B152" s="5"/>
      <c r="C152" s="5"/>
      <c r="D152" s="5"/>
      <c r="V152">
        <v>148</v>
      </c>
      <c r="W152" s="8">
        <v>359.38952364309097</v>
      </c>
      <c r="X152" s="10">
        <f t="shared" si="8"/>
        <v>365.27849943793609</v>
      </c>
      <c r="Y152" s="10">
        <f t="shared" si="6"/>
        <v>358.45326248260756</v>
      </c>
      <c r="Z152" s="10">
        <f t="shared" si="7"/>
        <v>372.10373639326463</v>
      </c>
    </row>
    <row r="153" spans="1:26" x14ac:dyDescent="0.25">
      <c r="A153" s="4"/>
      <c r="B153" s="5"/>
      <c r="C153" s="5"/>
      <c r="D153" s="5"/>
      <c r="V153">
        <v>149</v>
      </c>
      <c r="W153" s="8">
        <v>363.17054633151707</v>
      </c>
      <c r="X153" s="10">
        <f t="shared" si="8"/>
        <v>365.27849943793609</v>
      </c>
      <c r="Y153" s="10">
        <f t="shared" si="6"/>
        <v>358.45326248260756</v>
      </c>
      <c r="Z153" s="10">
        <f t="shared" si="7"/>
        <v>372.10373639326463</v>
      </c>
    </row>
    <row r="154" spans="1:26" x14ac:dyDescent="0.25">
      <c r="A154" s="4"/>
      <c r="B154" s="5"/>
      <c r="C154" s="5"/>
      <c r="D154" s="5"/>
      <c r="V154">
        <v>150</v>
      </c>
      <c r="W154" s="8">
        <v>375.07529439283542</v>
      </c>
      <c r="X154" s="10">
        <f t="shared" si="8"/>
        <v>365.27849943793609</v>
      </c>
      <c r="Y154" s="10">
        <f t="shared" si="6"/>
        <v>358.45326248260756</v>
      </c>
      <c r="Z154" s="10">
        <f t="shared" si="7"/>
        <v>372.10373639326463</v>
      </c>
    </row>
    <row r="155" spans="1:26" x14ac:dyDescent="0.25">
      <c r="A155" s="4"/>
      <c r="B155" s="5"/>
      <c r="C155" s="5"/>
      <c r="D155" s="5"/>
      <c r="V155">
        <v>151</v>
      </c>
      <c r="W155" s="8">
        <v>362.94461709770343</v>
      </c>
      <c r="X155" s="10">
        <f t="shared" si="8"/>
        <v>365.27849943793609</v>
      </c>
      <c r="Y155" s="10">
        <f t="shared" si="6"/>
        <v>358.45326248260756</v>
      </c>
      <c r="Z155" s="10">
        <f t="shared" si="7"/>
        <v>372.10373639326463</v>
      </c>
    </row>
    <row r="156" spans="1:26" x14ac:dyDescent="0.25">
      <c r="A156" s="4"/>
      <c r="B156" s="5"/>
      <c r="C156" s="5"/>
      <c r="D156" s="5"/>
      <c r="V156">
        <v>152</v>
      </c>
      <c r="W156" s="8">
        <v>358.89669013000531</v>
      </c>
      <c r="X156" s="10">
        <f t="shared" si="8"/>
        <v>365.27849943793609</v>
      </c>
      <c r="Y156" s="10">
        <f t="shared" si="6"/>
        <v>358.45326248260756</v>
      </c>
      <c r="Z156" s="10">
        <f t="shared" si="7"/>
        <v>372.10373639326463</v>
      </c>
    </row>
    <row r="157" spans="1:26" x14ac:dyDescent="0.25">
      <c r="A157" s="4"/>
      <c r="B157" s="5"/>
      <c r="C157" s="5"/>
      <c r="D157" s="5"/>
      <c r="V157">
        <v>153</v>
      </c>
      <c r="W157" s="8">
        <v>353.851031748889</v>
      </c>
      <c r="X157" s="10">
        <f t="shared" si="8"/>
        <v>365.27849943793609</v>
      </c>
      <c r="Y157" s="10">
        <f t="shared" si="6"/>
        <v>358.45326248260756</v>
      </c>
      <c r="Z157" s="10">
        <f t="shared" si="7"/>
        <v>372.10373639326463</v>
      </c>
    </row>
    <row r="158" spans="1:26" x14ac:dyDescent="0.25">
      <c r="A158" s="4"/>
      <c r="B158" s="5"/>
      <c r="C158" s="5"/>
      <c r="D158" s="5"/>
      <c r="V158">
        <v>154</v>
      </c>
      <c r="W158" s="8">
        <v>371.0942761680808</v>
      </c>
      <c r="X158" s="10">
        <f t="shared" si="8"/>
        <v>365.27849943793609</v>
      </c>
      <c r="Y158" s="10">
        <f t="shared" si="6"/>
        <v>358.45326248260756</v>
      </c>
      <c r="Z158" s="10">
        <f t="shared" si="7"/>
        <v>372.10373639326463</v>
      </c>
    </row>
    <row r="159" spans="1:26" x14ac:dyDescent="0.25">
      <c r="A159" s="4"/>
      <c r="B159" s="5"/>
      <c r="C159" s="5"/>
      <c r="D159" s="5"/>
      <c r="V159">
        <v>155</v>
      </c>
      <c r="W159" s="8">
        <v>367.20066888916023</v>
      </c>
      <c r="X159" s="10">
        <f t="shared" si="8"/>
        <v>365.27849943793609</v>
      </c>
      <c r="Y159" s="10">
        <f t="shared" si="6"/>
        <v>358.45326248260756</v>
      </c>
      <c r="Z159" s="10">
        <f t="shared" si="7"/>
        <v>372.10373639326463</v>
      </c>
    </row>
    <row r="160" spans="1:26" x14ac:dyDescent="0.25">
      <c r="A160" s="4"/>
      <c r="B160" s="5"/>
      <c r="C160" s="5"/>
      <c r="D160" s="5"/>
      <c r="V160">
        <v>156</v>
      </c>
      <c r="W160" s="8">
        <v>360.84277496310335</v>
      </c>
      <c r="X160" s="10">
        <f t="shared" si="8"/>
        <v>365.27849943793609</v>
      </c>
      <c r="Y160" s="10">
        <f t="shared" si="6"/>
        <v>358.45326248260756</v>
      </c>
      <c r="Z160" s="10">
        <f t="shared" si="7"/>
        <v>372.10373639326463</v>
      </c>
    </row>
    <row r="161" spans="1:26" x14ac:dyDescent="0.25">
      <c r="A161" s="4"/>
      <c r="B161" s="5"/>
      <c r="C161" s="5"/>
      <c r="D161" s="5"/>
      <c r="V161">
        <v>157</v>
      </c>
      <c r="W161" s="8">
        <v>358.08181967071232</v>
      </c>
      <c r="X161" s="10">
        <f t="shared" si="8"/>
        <v>365.27849943793609</v>
      </c>
      <c r="Y161" s="10">
        <f t="shared" si="6"/>
        <v>358.45326248260756</v>
      </c>
      <c r="Z161" s="10">
        <f t="shared" si="7"/>
        <v>372.10373639326463</v>
      </c>
    </row>
    <row r="162" spans="1:26" x14ac:dyDescent="0.25">
      <c r="A162" s="4"/>
      <c r="B162" s="5"/>
      <c r="C162" s="5"/>
      <c r="D162" s="5"/>
      <c r="V162">
        <v>158</v>
      </c>
      <c r="W162" s="8">
        <v>370.94612023461559</v>
      </c>
      <c r="X162" s="10">
        <f t="shared" si="8"/>
        <v>365.27849943793609</v>
      </c>
      <c r="Y162" s="10">
        <f t="shared" si="6"/>
        <v>358.45326248260756</v>
      </c>
      <c r="Z162" s="10">
        <f t="shared" si="7"/>
        <v>372.10373639326463</v>
      </c>
    </row>
    <row r="163" spans="1:26" x14ac:dyDescent="0.25">
      <c r="A163" s="4"/>
      <c r="B163" s="5"/>
      <c r="C163" s="5"/>
      <c r="D163" s="5"/>
      <c r="V163">
        <v>159</v>
      </c>
      <c r="W163" s="8">
        <v>372.70152429827431</v>
      </c>
      <c r="X163" s="10">
        <f t="shared" si="8"/>
        <v>365.27849943793609</v>
      </c>
      <c r="Y163" s="10">
        <f t="shared" si="6"/>
        <v>358.45326248260756</v>
      </c>
      <c r="Z163" s="10">
        <f t="shared" si="7"/>
        <v>372.10373639326463</v>
      </c>
    </row>
    <row r="164" spans="1:26" x14ac:dyDescent="0.25">
      <c r="A164" s="4"/>
      <c r="B164" s="5"/>
      <c r="C164" s="5"/>
      <c r="D164" s="5"/>
      <c r="V164">
        <v>160</v>
      </c>
      <c r="W164" s="8">
        <v>370.91697454027428</v>
      </c>
      <c r="X164" s="10">
        <f t="shared" si="8"/>
        <v>365.27849943793609</v>
      </c>
      <c r="Y164" s="10">
        <f t="shared" si="6"/>
        <v>358.45326248260756</v>
      </c>
      <c r="Z164" s="10">
        <f t="shared" si="7"/>
        <v>372.10373639326463</v>
      </c>
    </row>
    <row r="165" spans="1:26" x14ac:dyDescent="0.25">
      <c r="A165" s="4"/>
      <c r="B165" s="5"/>
      <c r="C165" s="5"/>
      <c r="D165" s="5"/>
      <c r="V165">
        <v>161</v>
      </c>
      <c r="W165" s="8">
        <v>367.79307754241529</v>
      </c>
      <c r="X165" s="10">
        <f t="shared" si="8"/>
        <v>365.27849943793609</v>
      </c>
      <c r="Y165" s="10">
        <f t="shared" si="6"/>
        <v>358.45326248260756</v>
      </c>
      <c r="Z165" s="10">
        <f t="shared" si="7"/>
        <v>372.10373639326463</v>
      </c>
    </row>
    <row r="166" spans="1:26" x14ac:dyDescent="0.25">
      <c r="A166" s="4"/>
      <c r="B166" s="5"/>
      <c r="C166" s="5"/>
      <c r="D166" s="5"/>
      <c r="V166">
        <v>162</v>
      </c>
      <c r="W166" s="8">
        <v>365.20017845319512</v>
      </c>
      <c r="X166" s="10">
        <f t="shared" si="8"/>
        <v>365.27849943793609</v>
      </c>
      <c r="Y166" s="10">
        <f t="shared" si="6"/>
        <v>358.45326248260756</v>
      </c>
      <c r="Z166" s="10">
        <f t="shared" si="7"/>
        <v>372.10373639326463</v>
      </c>
    </row>
    <row r="167" spans="1:26" x14ac:dyDescent="0.25">
      <c r="A167" s="4"/>
      <c r="B167" s="5"/>
      <c r="C167" s="5"/>
      <c r="D167" s="5"/>
      <c r="V167">
        <v>163</v>
      </c>
      <c r="W167" s="8">
        <v>368.02211465808745</v>
      </c>
      <c r="X167" s="10">
        <f t="shared" si="8"/>
        <v>365.27849943793609</v>
      </c>
      <c r="Y167" s="10">
        <f t="shared" si="6"/>
        <v>358.45326248260756</v>
      </c>
      <c r="Z167" s="10">
        <f t="shared" si="7"/>
        <v>372.10373639326463</v>
      </c>
    </row>
    <row r="168" spans="1:26" x14ac:dyDescent="0.25">
      <c r="A168" s="4"/>
      <c r="B168" s="5"/>
      <c r="C168" s="5"/>
      <c r="D168" s="5"/>
      <c r="V168">
        <v>164</v>
      </c>
      <c r="W168" s="8">
        <v>358.83153223589181</v>
      </c>
      <c r="X168" s="10">
        <f t="shared" si="8"/>
        <v>365.27849943793609</v>
      </c>
      <c r="Y168" s="10">
        <f t="shared" si="6"/>
        <v>358.45326248260756</v>
      </c>
      <c r="Z168" s="10">
        <f t="shared" si="7"/>
        <v>372.10373639326463</v>
      </c>
    </row>
    <row r="169" spans="1:26" x14ac:dyDescent="0.25">
      <c r="A169" s="4"/>
      <c r="B169" s="5"/>
      <c r="C169" s="5"/>
      <c r="D169" s="5"/>
      <c r="V169">
        <v>165</v>
      </c>
      <c r="W169" s="8">
        <v>369.5877419795969</v>
      </c>
      <c r="X169" s="10">
        <f t="shared" si="8"/>
        <v>365.27849943793609</v>
      </c>
      <c r="Y169" s="10">
        <f t="shared" si="6"/>
        <v>358.45326248260756</v>
      </c>
      <c r="Z169" s="10">
        <f t="shared" si="7"/>
        <v>372.10373639326463</v>
      </c>
    </row>
    <row r="170" spans="1:26" x14ac:dyDescent="0.25">
      <c r="A170" s="4"/>
      <c r="B170" s="5"/>
      <c r="C170" s="5"/>
      <c r="D170" s="5"/>
      <c r="V170">
        <v>166</v>
      </c>
      <c r="W170" s="8">
        <v>355.47286598061766</v>
      </c>
      <c r="X170" s="10">
        <f t="shared" si="8"/>
        <v>365.27849943793609</v>
      </c>
      <c r="Y170" s="10">
        <f t="shared" si="6"/>
        <v>358.45326248260756</v>
      </c>
      <c r="Z170" s="10">
        <f t="shared" si="7"/>
        <v>372.10373639326463</v>
      </c>
    </row>
    <row r="171" spans="1:26" x14ac:dyDescent="0.25">
      <c r="A171" s="4"/>
      <c r="B171" s="5"/>
      <c r="C171" s="5"/>
      <c r="D171" s="5"/>
      <c r="V171">
        <v>167</v>
      </c>
      <c r="W171" s="8">
        <v>374.43109133912066</v>
      </c>
      <c r="X171" s="10">
        <f t="shared" si="8"/>
        <v>365.27849943793609</v>
      </c>
      <c r="Y171" s="10">
        <f t="shared" si="6"/>
        <v>358.45326248260756</v>
      </c>
      <c r="Z171" s="10">
        <f t="shared" si="7"/>
        <v>372.10373639326463</v>
      </c>
    </row>
    <row r="172" spans="1:26" x14ac:dyDescent="0.25">
      <c r="A172" s="4"/>
      <c r="B172" s="5"/>
      <c r="C172" s="5"/>
      <c r="D172" s="5"/>
      <c r="V172">
        <v>168</v>
      </c>
      <c r="W172" s="8">
        <v>373.03100432819178</v>
      </c>
      <c r="X172" s="10">
        <f t="shared" si="8"/>
        <v>365.27849943793609</v>
      </c>
      <c r="Y172" s="10">
        <f t="shared" si="6"/>
        <v>358.45326248260756</v>
      </c>
      <c r="Z172" s="10">
        <f t="shared" si="7"/>
        <v>372.10373639326463</v>
      </c>
    </row>
    <row r="173" spans="1:26" x14ac:dyDescent="0.25">
      <c r="A173" s="4"/>
      <c r="B173" s="5"/>
      <c r="C173" s="5"/>
      <c r="D173" s="5"/>
      <c r="V173">
        <v>169</v>
      </c>
      <c r="W173" s="8">
        <v>361.69462587376216</v>
      </c>
      <c r="X173" s="10">
        <f t="shared" si="8"/>
        <v>365.27849943793609</v>
      </c>
      <c r="Y173" s="10">
        <f t="shared" si="6"/>
        <v>358.45326248260756</v>
      </c>
      <c r="Z173" s="10">
        <f t="shared" si="7"/>
        <v>372.10373639326463</v>
      </c>
    </row>
    <row r="174" spans="1:26" x14ac:dyDescent="0.25">
      <c r="A174" s="4"/>
      <c r="B174" s="5"/>
      <c r="C174" s="5"/>
      <c r="D174" s="5"/>
      <c r="V174">
        <v>170</v>
      </c>
      <c r="W174" s="8">
        <v>367.52064651591849</v>
      </c>
      <c r="X174" s="10">
        <f t="shared" si="8"/>
        <v>365.27849943793609</v>
      </c>
      <c r="Y174" s="10">
        <f t="shared" si="6"/>
        <v>358.45326248260756</v>
      </c>
      <c r="Z174" s="10">
        <f t="shared" si="7"/>
        <v>372.10373639326463</v>
      </c>
    </row>
    <row r="175" spans="1:26" x14ac:dyDescent="0.25">
      <c r="A175" s="4"/>
      <c r="B175" s="5"/>
      <c r="C175" s="5"/>
      <c r="D175" s="5"/>
      <c r="V175">
        <v>171</v>
      </c>
      <c r="W175" s="8">
        <v>366.29231434409405</v>
      </c>
      <c r="X175" s="10">
        <f t="shared" si="8"/>
        <v>365.27849943793609</v>
      </c>
      <c r="Y175" s="10">
        <f t="shared" si="6"/>
        <v>358.45326248260756</v>
      </c>
      <c r="Z175" s="10">
        <f t="shared" si="7"/>
        <v>372.10373639326463</v>
      </c>
    </row>
    <row r="176" spans="1:26" x14ac:dyDescent="0.25">
      <c r="A176" s="4"/>
      <c r="B176" s="5"/>
      <c r="C176" s="5"/>
      <c r="D176" s="5"/>
      <c r="V176">
        <v>172</v>
      </c>
      <c r="W176" s="8">
        <v>364.14180271507911</v>
      </c>
      <c r="X176" s="10">
        <f t="shared" si="8"/>
        <v>365.27849943793609</v>
      </c>
      <c r="Y176" s="10">
        <f t="shared" si="6"/>
        <v>358.45326248260756</v>
      </c>
      <c r="Z176" s="10">
        <f t="shared" si="7"/>
        <v>372.10373639326463</v>
      </c>
    </row>
    <row r="177" spans="1:26" x14ac:dyDescent="0.25">
      <c r="A177" s="4"/>
      <c r="B177" s="5"/>
      <c r="C177" s="5"/>
      <c r="D177" s="5"/>
      <c r="V177">
        <v>173</v>
      </c>
      <c r="W177" s="8">
        <v>355.41755853861116</v>
      </c>
      <c r="X177" s="10">
        <f t="shared" si="8"/>
        <v>365.27849943793609</v>
      </c>
      <c r="Y177" s="10">
        <f t="shared" si="6"/>
        <v>358.45326248260756</v>
      </c>
      <c r="Z177" s="10">
        <f t="shared" si="7"/>
        <v>372.10373639326463</v>
      </c>
    </row>
    <row r="178" spans="1:26" x14ac:dyDescent="0.25">
      <c r="A178" s="4"/>
      <c r="B178" s="5"/>
      <c r="C178" s="5"/>
      <c r="D178" s="5"/>
      <c r="V178">
        <v>174</v>
      </c>
      <c r="W178" s="8">
        <v>362.29688560230363</v>
      </c>
      <c r="X178" s="10">
        <f t="shared" si="8"/>
        <v>365.27849943793609</v>
      </c>
      <c r="Y178" s="10">
        <f t="shared" si="6"/>
        <v>358.45326248260756</v>
      </c>
      <c r="Z178" s="10">
        <f t="shared" si="7"/>
        <v>372.10373639326463</v>
      </c>
    </row>
    <row r="179" spans="1:26" x14ac:dyDescent="0.25">
      <c r="A179" s="4"/>
      <c r="B179" s="5"/>
      <c r="C179" s="5"/>
      <c r="D179" s="5"/>
      <c r="V179">
        <v>175</v>
      </c>
      <c r="W179" s="8">
        <v>358.32154480812852</v>
      </c>
      <c r="X179" s="10">
        <f t="shared" si="8"/>
        <v>365.27849943793609</v>
      </c>
      <c r="Y179" s="10">
        <f t="shared" si="6"/>
        <v>358.45326248260756</v>
      </c>
      <c r="Z179" s="10">
        <f t="shared" si="7"/>
        <v>372.10373639326463</v>
      </c>
    </row>
    <row r="180" spans="1:26" x14ac:dyDescent="0.25">
      <c r="A180" s="4"/>
      <c r="B180" s="5"/>
      <c r="C180" s="5"/>
      <c r="D180" s="5"/>
      <c r="V180">
        <v>176</v>
      </c>
      <c r="W180" s="8">
        <v>367.74276618560219</v>
      </c>
      <c r="X180" s="10">
        <f t="shared" si="8"/>
        <v>365.27849943793609</v>
      </c>
      <c r="Y180" s="10">
        <f t="shared" si="6"/>
        <v>358.45326248260756</v>
      </c>
      <c r="Z180" s="10">
        <f t="shared" si="7"/>
        <v>372.10373639326463</v>
      </c>
    </row>
    <row r="181" spans="1:26" x14ac:dyDescent="0.25">
      <c r="A181" s="4"/>
      <c r="B181" s="5"/>
      <c r="C181" s="5"/>
      <c r="D181" s="5"/>
      <c r="V181">
        <v>177</v>
      </c>
      <c r="W181" s="8">
        <v>377.27152439109528</v>
      </c>
      <c r="X181" s="10">
        <f t="shared" si="8"/>
        <v>365.27849943793609</v>
      </c>
      <c r="Y181" s="10">
        <f t="shared" si="6"/>
        <v>358.45326248260756</v>
      </c>
      <c r="Z181" s="10">
        <f t="shared" si="7"/>
        <v>372.10373639326463</v>
      </c>
    </row>
    <row r="182" spans="1:26" x14ac:dyDescent="0.25">
      <c r="A182" s="4"/>
      <c r="B182" s="5"/>
      <c r="C182" s="5"/>
      <c r="D182" s="5"/>
      <c r="V182">
        <v>178</v>
      </c>
      <c r="W182" s="8">
        <v>362.63731047906913</v>
      </c>
      <c r="X182" s="10">
        <f t="shared" si="8"/>
        <v>365.27849943793609</v>
      </c>
      <c r="Y182" s="10">
        <f t="shared" si="6"/>
        <v>358.45326248260756</v>
      </c>
      <c r="Z182" s="10">
        <f t="shared" si="7"/>
        <v>372.10373639326463</v>
      </c>
    </row>
    <row r="183" spans="1:26" x14ac:dyDescent="0.25">
      <c r="A183" s="4"/>
      <c r="B183" s="5"/>
      <c r="C183" s="5"/>
      <c r="D183" s="5"/>
      <c r="V183">
        <v>179</v>
      </c>
      <c r="W183" s="8">
        <v>373.69013582428914</v>
      </c>
      <c r="X183" s="10">
        <f t="shared" si="8"/>
        <v>365.27849943793609</v>
      </c>
      <c r="Y183" s="10">
        <f t="shared" si="6"/>
        <v>358.45326248260756</v>
      </c>
      <c r="Z183" s="10">
        <f t="shared" si="7"/>
        <v>372.10373639326463</v>
      </c>
    </row>
    <row r="184" spans="1:26" x14ac:dyDescent="0.25">
      <c r="A184" s="4"/>
      <c r="B184" s="5"/>
      <c r="C184" s="5"/>
      <c r="D184" s="5"/>
      <c r="V184">
        <v>180</v>
      </c>
      <c r="W184" s="8">
        <v>367.93414309938282</v>
      </c>
      <c r="X184" s="10">
        <f t="shared" si="8"/>
        <v>365.27849943793609</v>
      </c>
      <c r="Y184" s="10">
        <f t="shared" si="6"/>
        <v>358.45326248260756</v>
      </c>
      <c r="Z184" s="10">
        <f t="shared" si="7"/>
        <v>372.10373639326463</v>
      </c>
    </row>
    <row r="185" spans="1:26" x14ac:dyDescent="0.25">
      <c r="A185" s="4"/>
      <c r="B185" s="5"/>
      <c r="C185" s="5"/>
      <c r="D185" s="5"/>
      <c r="V185">
        <v>181</v>
      </c>
      <c r="W185" s="8">
        <v>379.1105776721692</v>
      </c>
      <c r="X185" s="10">
        <f t="shared" si="8"/>
        <v>365.27849943793609</v>
      </c>
      <c r="Y185" s="10">
        <f t="shared" si="6"/>
        <v>358.45326248260756</v>
      </c>
      <c r="Z185" s="10">
        <f t="shared" si="7"/>
        <v>372.10373639326463</v>
      </c>
    </row>
    <row r="186" spans="1:26" x14ac:dyDescent="0.25">
      <c r="A186" s="4"/>
      <c r="B186" s="5"/>
      <c r="C186" s="5"/>
      <c r="D186" s="5"/>
      <c r="V186">
        <v>182</v>
      </c>
      <c r="W186" s="8">
        <v>370.28861730841959</v>
      </c>
      <c r="X186" s="10">
        <f t="shared" si="8"/>
        <v>365.27849943793609</v>
      </c>
      <c r="Y186" s="10">
        <f t="shared" si="6"/>
        <v>358.45326248260756</v>
      </c>
      <c r="Z186" s="10">
        <f t="shared" si="7"/>
        <v>372.10373639326463</v>
      </c>
    </row>
    <row r="187" spans="1:26" x14ac:dyDescent="0.25">
      <c r="A187" s="4"/>
      <c r="B187" s="5"/>
      <c r="C187" s="5"/>
      <c r="D187" s="5"/>
      <c r="V187">
        <v>183</v>
      </c>
      <c r="W187" s="8">
        <v>375.78582213853218</v>
      </c>
      <c r="X187" s="10">
        <f t="shared" si="8"/>
        <v>365.27849943793609</v>
      </c>
      <c r="Y187" s="10">
        <f t="shared" si="6"/>
        <v>358.45326248260756</v>
      </c>
      <c r="Z187" s="10">
        <f t="shared" si="7"/>
        <v>372.10373639326463</v>
      </c>
    </row>
    <row r="188" spans="1:26" x14ac:dyDescent="0.25">
      <c r="A188" s="4"/>
      <c r="B188" s="5"/>
      <c r="C188" s="5"/>
      <c r="D188" s="5"/>
      <c r="V188">
        <v>184</v>
      </c>
      <c r="W188" s="8">
        <v>358.62728731168113</v>
      </c>
      <c r="X188" s="10">
        <f t="shared" si="8"/>
        <v>365.27849943793609</v>
      </c>
      <c r="Y188" s="10">
        <f t="shared" si="6"/>
        <v>358.45326248260756</v>
      </c>
      <c r="Z188" s="10">
        <f t="shared" si="7"/>
        <v>372.10373639326463</v>
      </c>
    </row>
    <row r="189" spans="1:26" x14ac:dyDescent="0.25">
      <c r="A189" s="4"/>
      <c r="B189" s="5"/>
      <c r="C189" s="5"/>
      <c r="D189" s="5"/>
      <c r="V189">
        <v>185</v>
      </c>
      <c r="W189" s="8">
        <v>364.068745017585</v>
      </c>
      <c r="X189" s="10">
        <f t="shared" si="8"/>
        <v>365.27849943793609</v>
      </c>
      <c r="Y189" s="10">
        <f t="shared" si="6"/>
        <v>358.45326248260756</v>
      </c>
      <c r="Z189" s="10">
        <f t="shared" si="7"/>
        <v>372.10373639326463</v>
      </c>
    </row>
    <row r="190" spans="1:26" x14ac:dyDescent="0.25">
      <c r="A190" s="4"/>
      <c r="B190" s="5"/>
      <c r="C190" s="5"/>
      <c r="D190" s="5"/>
      <c r="V190">
        <v>186</v>
      </c>
      <c r="W190" s="8">
        <v>368.12819371662403</v>
      </c>
      <c r="X190" s="10">
        <f t="shared" si="8"/>
        <v>365.27849943793609</v>
      </c>
      <c r="Y190" s="10">
        <f t="shared" si="6"/>
        <v>358.45326248260756</v>
      </c>
      <c r="Z190" s="10">
        <f t="shared" si="7"/>
        <v>372.10373639326463</v>
      </c>
    </row>
    <row r="191" spans="1:26" x14ac:dyDescent="0.25">
      <c r="A191" s="4"/>
      <c r="B191" s="5"/>
      <c r="C191" s="5"/>
      <c r="D191" s="5"/>
      <c r="V191">
        <v>187</v>
      </c>
      <c r="W191" s="8">
        <v>366.30671254956911</v>
      </c>
      <c r="X191" s="10">
        <f t="shared" si="8"/>
        <v>365.27849943793609</v>
      </c>
      <c r="Y191" s="10">
        <f t="shared" si="6"/>
        <v>358.45326248260756</v>
      </c>
      <c r="Z191" s="10">
        <f t="shared" si="7"/>
        <v>372.10373639326463</v>
      </c>
    </row>
    <row r="192" spans="1:26" x14ac:dyDescent="0.25">
      <c r="A192" s="4"/>
      <c r="B192" s="5"/>
      <c r="C192" s="5"/>
      <c r="D192" s="5"/>
      <c r="V192">
        <v>188</v>
      </c>
      <c r="W192" s="8">
        <v>356.30254752340136</v>
      </c>
      <c r="X192" s="10">
        <f t="shared" si="8"/>
        <v>365.27849943793609</v>
      </c>
      <c r="Y192" s="10">
        <f t="shared" si="6"/>
        <v>358.45326248260756</v>
      </c>
      <c r="Z192" s="10">
        <f t="shared" si="7"/>
        <v>372.10373639326463</v>
      </c>
    </row>
    <row r="193" spans="1:26" x14ac:dyDescent="0.25">
      <c r="A193" s="4"/>
      <c r="B193" s="5"/>
      <c r="C193" s="5"/>
      <c r="D193" s="5"/>
      <c r="V193">
        <v>189</v>
      </c>
      <c r="W193" s="8">
        <v>354.33330693627835</v>
      </c>
      <c r="X193" s="10">
        <f t="shared" si="8"/>
        <v>365.27849943793609</v>
      </c>
      <c r="Y193" s="10">
        <f t="shared" si="6"/>
        <v>358.45326248260756</v>
      </c>
      <c r="Z193" s="10">
        <f t="shared" si="7"/>
        <v>372.10373639326463</v>
      </c>
    </row>
    <row r="194" spans="1:26" x14ac:dyDescent="0.25">
      <c r="A194" s="4"/>
      <c r="B194" s="5"/>
      <c r="C194" s="5"/>
      <c r="D194" s="5"/>
      <c r="V194">
        <v>190</v>
      </c>
      <c r="W194" s="8">
        <v>370.74457999205526</v>
      </c>
      <c r="X194" s="10">
        <f t="shared" si="8"/>
        <v>365.27849943793609</v>
      </c>
      <c r="Y194" s="10">
        <f t="shared" si="6"/>
        <v>358.45326248260756</v>
      </c>
      <c r="Z194" s="10">
        <f t="shared" si="7"/>
        <v>372.10373639326463</v>
      </c>
    </row>
    <row r="195" spans="1:26" x14ac:dyDescent="0.25">
      <c r="A195" s="4"/>
      <c r="B195" s="5"/>
      <c r="C195" s="5"/>
      <c r="D195" s="5"/>
      <c r="V195">
        <v>191</v>
      </c>
      <c r="W195" s="8">
        <v>374.51771970945936</v>
      </c>
      <c r="X195" s="10">
        <f t="shared" si="8"/>
        <v>365.27849943793609</v>
      </c>
      <c r="Y195" s="10">
        <f t="shared" si="6"/>
        <v>358.45326248260756</v>
      </c>
      <c r="Z195" s="10">
        <f t="shared" si="7"/>
        <v>372.10373639326463</v>
      </c>
    </row>
    <row r="196" spans="1:26" x14ac:dyDescent="0.25">
      <c r="A196" s="4"/>
      <c r="B196" s="5"/>
      <c r="C196" s="5"/>
      <c r="D196" s="5"/>
      <c r="V196">
        <v>192</v>
      </c>
      <c r="W196" s="8">
        <v>362.41611080738215</v>
      </c>
      <c r="X196" s="10">
        <f t="shared" si="8"/>
        <v>365.27849943793609</v>
      </c>
      <c r="Y196" s="10">
        <f t="shared" si="6"/>
        <v>358.45326248260756</v>
      </c>
      <c r="Z196" s="10">
        <f t="shared" si="7"/>
        <v>372.10373639326463</v>
      </c>
    </row>
    <row r="197" spans="1:26" x14ac:dyDescent="0.25">
      <c r="A197" s="4"/>
      <c r="B197" s="5"/>
      <c r="C197" s="5"/>
      <c r="D197" s="5"/>
      <c r="V197">
        <v>193</v>
      </c>
      <c r="W197" s="8">
        <v>368.50698000934023</v>
      </c>
      <c r="X197" s="10">
        <f t="shared" si="8"/>
        <v>365.27849943793609</v>
      </c>
      <c r="Y197" s="10">
        <f t="shared" si="6"/>
        <v>358.45326248260756</v>
      </c>
      <c r="Z197" s="10">
        <f t="shared" si="7"/>
        <v>372.10373639326463</v>
      </c>
    </row>
    <row r="198" spans="1:26" x14ac:dyDescent="0.25">
      <c r="A198" s="4"/>
      <c r="B198" s="5"/>
      <c r="C198" s="5"/>
      <c r="D198" s="5"/>
      <c r="V198">
        <v>194</v>
      </c>
      <c r="W198" s="8">
        <v>372.79089003989156</v>
      </c>
      <c r="X198" s="10">
        <f t="shared" si="8"/>
        <v>365.27849943793609</v>
      </c>
      <c r="Y198" s="10">
        <f t="shared" ref="Y198:Y261" si="9">Y197</f>
        <v>358.45326248260756</v>
      </c>
      <c r="Z198" s="10">
        <f t="shared" ref="Z198:Z261" si="10">Z197</f>
        <v>372.10373639326463</v>
      </c>
    </row>
    <row r="199" spans="1:26" x14ac:dyDescent="0.25">
      <c r="A199" s="4"/>
      <c r="B199" s="5"/>
      <c r="C199" s="5"/>
      <c r="D199" s="5"/>
      <c r="V199">
        <v>195</v>
      </c>
      <c r="W199" s="8">
        <v>365.13564645478129</v>
      </c>
      <c r="X199" s="10">
        <f t="shared" ref="X199:X262" si="11">X198</f>
        <v>365.27849943793609</v>
      </c>
      <c r="Y199" s="10">
        <f t="shared" si="9"/>
        <v>358.45326248260756</v>
      </c>
      <c r="Z199" s="10">
        <f t="shared" si="10"/>
        <v>372.10373639326463</v>
      </c>
    </row>
    <row r="200" spans="1:26" x14ac:dyDescent="0.25">
      <c r="A200" s="4"/>
      <c r="B200" s="5"/>
      <c r="C200" s="5"/>
      <c r="D200" s="5"/>
      <c r="V200">
        <v>196</v>
      </c>
      <c r="W200" s="8">
        <v>374.44594603852101</v>
      </c>
      <c r="X200" s="10">
        <f t="shared" si="11"/>
        <v>365.27849943793609</v>
      </c>
      <c r="Y200" s="10">
        <f t="shared" si="9"/>
        <v>358.45326248260756</v>
      </c>
      <c r="Z200" s="10">
        <f t="shared" si="10"/>
        <v>372.10373639326463</v>
      </c>
    </row>
    <row r="201" spans="1:26" x14ac:dyDescent="0.25">
      <c r="A201" s="4"/>
      <c r="B201" s="5"/>
      <c r="C201" s="5"/>
      <c r="D201" s="5"/>
      <c r="V201">
        <v>197</v>
      </c>
      <c r="W201" s="8">
        <v>358.80574140761479</v>
      </c>
      <c r="X201" s="10">
        <f t="shared" si="11"/>
        <v>365.27849943793609</v>
      </c>
      <c r="Y201" s="10">
        <f t="shared" si="9"/>
        <v>358.45326248260756</v>
      </c>
      <c r="Z201" s="10">
        <f t="shared" si="10"/>
        <v>372.10373639326463</v>
      </c>
    </row>
    <row r="202" spans="1:26" x14ac:dyDescent="0.25">
      <c r="A202" s="4"/>
      <c r="B202" s="5"/>
      <c r="C202" s="5"/>
      <c r="D202" s="5"/>
      <c r="V202">
        <v>198</v>
      </c>
      <c r="W202" s="8">
        <v>356.69733952970694</v>
      </c>
      <c r="X202" s="10">
        <f t="shared" si="11"/>
        <v>365.27849943793609</v>
      </c>
      <c r="Y202" s="10">
        <f t="shared" si="9"/>
        <v>358.45326248260756</v>
      </c>
      <c r="Z202" s="10">
        <f t="shared" si="10"/>
        <v>372.10373639326463</v>
      </c>
    </row>
    <row r="203" spans="1:26" x14ac:dyDescent="0.25">
      <c r="A203" s="4"/>
      <c r="B203" s="5"/>
      <c r="C203" s="5"/>
      <c r="D203" s="5"/>
      <c r="V203">
        <v>199</v>
      </c>
      <c r="W203" s="8">
        <v>365.0908643200479</v>
      </c>
      <c r="X203" s="10">
        <f t="shared" si="11"/>
        <v>365.27849943793609</v>
      </c>
      <c r="Y203" s="10">
        <f t="shared" si="9"/>
        <v>358.45326248260756</v>
      </c>
      <c r="Z203" s="10">
        <f t="shared" si="10"/>
        <v>372.10373639326463</v>
      </c>
    </row>
    <row r="204" spans="1:26" x14ac:dyDescent="0.25">
      <c r="A204" s="4"/>
      <c r="B204" s="5"/>
      <c r="C204" s="5"/>
      <c r="D204" s="5"/>
      <c r="V204">
        <v>200</v>
      </c>
      <c r="W204" s="8">
        <v>371.08780742014204</v>
      </c>
      <c r="X204" s="10">
        <f t="shared" si="11"/>
        <v>365.27849943793609</v>
      </c>
      <c r="Y204" s="10">
        <f t="shared" si="9"/>
        <v>358.45326248260756</v>
      </c>
      <c r="Z204" s="10">
        <f t="shared" si="10"/>
        <v>372.10373639326463</v>
      </c>
    </row>
    <row r="205" spans="1:26" x14ac:dyDescent="0.25">
      <c r="A205" s="4"/>
      <c r="B205" s="5"/>
      <c r="C205" s="5"/>
      <c r="D205" s="5"/>
      <c r="W205" s="8"/>
      <c r="X205" s="10"/>
      <c r="Y205" s="10"/>
      <c r="Z205" s="10"/>
    </row>
    <row r="206" spans="1:26" x14ac:dyDescent="0.25">
      <c r="A206" s="4"/>
      <c r="B206" s="5"/>
      <c r="C206" s="5"/>
      <c r="D206" s="5"/>
      <c r="W206" s="8"/>
      <c r="X206" s="10"/>
      <c r="Y206" s="10"/>
      <c r="Z206" s="10"/>
    </row>
    <row r="207" spans="1:26" x14ac:dyDescent="0.25">
      <c r="A207" s="4"/>
      <c r="B207" s="5"/>
      <c r="C207" s="5"/>
      <c r="D207" s="5"/>
      <c r="W207" s="8"/>
      <c r="X207" s="10"/>
      <c r="Y207" s="10"/>
      <c r="Z207" s="10"/>
    </row>
    <row r="208" spans="1:26" x14ac:dyDescent="0.25">
      <c r="A208" s="4"/>
      <c r="B208" s="5"/>
      <c r="C208" s="5"/>
      <c r="D208" s="5"/>
      <c r="W208" s="8"/>
      <c r="X208" s="10"/>
      <c r="Y208" s="10"/>
      <c r="Z208" s="10"/>
    </row>
    <row r="209" spans="1:26" x14ac:dyDescent="0.25">
      <c r="A209" s="4"/>
      <c r="B209" s="5"/>
      <c r="C209" s="5"/>
      <c r="D209" s="5"/>
      <c r="W209" s="8"/>
      <c r="X209" s="10"/>
      <c r="Y209" s="10"/>
      <c r="Z209" s="10"/>
    </row>
    <row r="210" spans="1:26" x14ac:dyDescent="0.25">
      <c r="A210" s="4"/>
      <c r="B210" s="5"/>
      <c r="C210" s="5"/>
      <c r="D210" s="5"/>
      <c r="W210" s="8"/>
      <c r="X210" s="10"/>
      <c r="Y210" s="10"/>
      <c r="Z210" s="10"/>
    </row>
    <row r="211" spans="1:26" x14ac:dyDescent="0.25">
      <c r="A211" s="4"/>
      <c r="B211" s="5"/>
      <c r="C211" s="5"/>
      <c r="D211" s="5"/>
      <c r="W211" s="8"/>
      <c r="X211" s="10"/>
      <c r="Y211" s="10"/>
      <c r="Z211" s="10"/>
    </row>
    <row r="212" spans="1:26" x14ac:dyDescent="0.25">
      <c r="A212" s="4"/>
      <c r="B212" s="5"/>
      <c r="C212" s="5"/>
      <c r="D212" s="5"/>
      <c r="W212" s="8"/>
      <c r="X212" s="10"/>
      <c r="Y212" s="10"/>
      <c r="Z212" s="10"/>
    </row>
    <row r="213" spans="1:26" x14ac:dyDescent="0.25">
      <c r="A213" s="4"/>
      <c r="B213" s="5"/>
      <c r="C213" s="5"/>
      <c r="D213" s="5"/>
      <c r="W213" s="8"/>
      <c r="X213" s="10"/>
      <c r="Y213" s="10"/>
      <c r="Z213" s="10"/>
    </row>
    <row r="214" spans="1:26" x14ac:dyDescent="0.25">
      <c r="A214" s="4"/>
      <c r="B214" s="5"/>
      <c r="C214" s="5"/>
      <c r="D214" s="5"/>
      <c r="W214" s="8"/>
      <c r="X214" s="10"/>
      <c r="Y214" s="10"/>
      <c r="Z214" s="10"/>
    </row>
    <row r="215" spans="1:26" x14ac:dyDescent="0.25">
      <c r="A215" s="4"/>
      <c r="B215" s="5"/>
      <c r="C215" s="5"/>
      <c r="D215" s="5"/>
      <c r="W215" s="8"/>
      <c r="X215" s="10"/>
      <c r="Y215" s="10"/>
      <c r="Z215" s="10"/>
    </row>
    <row r="216" spans="1:26" x14ac:dyDescent="0.25">
      <c r="A216" s="4"/>
      <c r="B216" s="5"/>
      <c r="C216" s="5"/>
      <c r="D216" s="5"/>
      <c r="W216" s="8"/>
      <c r="X216" s="10"/>
      <c r="Y216" s="10"/>
      <c r="Z216" s="10"/>
    </row>
    <row r="217" spans="1:26" x14ac:dyDescent="0.25">
      <c r="A217" s="4"/>
      <c r="B217" s="5"/>
      <c r="C217" s="5"/>
      <c r="D217" s="5"/>
      <c r="W217" s="8"/>
      <c r="X217" s="10"/>
      <c r="Y217" s="10"/>
      <c r="Z217" s="10"/>
    </row>
    <row r="218" spans="1:26" x14ac:dyDescent="0.25">
      <c r="A218" s="4"/>
      <c r="B218" s="5"/>
      <c r="C218" s="5"/>
      <c r="D218" s="5"/>
      <c r="W218" s="8"/>
      <c r="X218" s="10"/>
      <c r="Y218" s="10"/>
      <c r="Z218" s="10"/>
    </row>
    <row r="219" spans="1:26" x14ac:dyDescent="0.25">
      <c r="A219" s="4"/>
      <c r="B219" s="5"/>
      <c r="C219" s="5"/>
      <c r="D219" s="5"/>
      <c r="W219" s="8"/>
      <c r="X219" s="10"/>
      <c r="Y219" s="10"/>
      <c r="Z219" s="10"/>
    </row>
    <row r="220" spans="1:26" x14ac:dyDescent="0.25">
      <c r="A220" s="4"/>
      <c r="B220" s="5"/>
      <c r="C220" s="5"/>
      <c r="D220" s="5"/>
      <c r="W220" s="8"/>
      <c r="X220" s="10"/>
      <c r="Y220" s="10"/>
      <c r="Z220" s="10"/>
    </row>
    <row r="221" spans="1:26" x14ac:dyDescent="0.25">
      <c r="A221" s="4"/>
      <c r="B221" s="5"/>
      <c r="C221" s="5"/>
      <c r="D221" s="5"/>
      <c r="W221" s="8"/>
      <c r="X221" s="10"/>
      <c r="Y221" s="10"/>
      <c r="Z221" s="10"/>
    </row>
    <row r="222" spans="1:26" x14ac:dyDescent="0.25">
      <c r="A222" s="4"/>
      <c r="B222" s="5"/>
      <c r="C222" s="5"/>
      <c r="D222" s="5"/>
      <c r="W222" s="8"/>
      <c r="X222" s="10"/>
      <c r="Y222" s="10"/>
      <c r="Z222" s="10"/>
    </row>
    <row r="223" spans="1:26" x14ac:dyDescent="0.25">
      <c r="A223" s="4"/>
      <c r="B223" s="5"/>
      <c r="C223" s="5"/>
      <c r="D223" s="5"/>
      <c r="W223" s="8"/>
      <c r="X223" s="10"/>
      <c r="Y223" s="10"/>
      <c r="Z223" s="10"/>
    </row>
    <row r="224" spans="1:26" x14ac:dyDescent="0.25">
      <c r="A224" s="4"/>
      <c r="B224" s="5"/>
      <c r="C224" s="5"/>
      <c r="D224" s="5"/>
      <c r="W224" s="8"/>
      <c r="X224" s="10"/>
      <c r="Y224" s="10"/>
      <c r="Z224" s="10"/>
    </row>
    <row r="225" spans="1:26" x14ac:dyDescent="0.25">
      <c r="A225" s="4"/>
      <c r="B225" s="5"/>
      <c r="C225" s="5"/>
      <c r="D225" s="5"/>
      <c r="W225" s="8"/>
      <c r="X225" s="10"/>
      <c r="Y225" s="10"/>
      <c r="Z225" s="10"/>
    </row>
    <row r="226" spans="1:26" x14ac:dyDescent="0.25">
      <c r="A226" s="4"/>
      <c r="B226" s="5"/>
      <c r="C226" s="5"/>
      <c r="D226" s="5"/>
      <c r="W226" s="8"/>
      <c r="X226" s="10"/>
      <c r="Y226" s="10"/>
      <c r="Z226" s="10"/>
    </row>
    <row r="227" spans="1:26" x14ac:dyDescent="0.25">
      <c r="A227" s="4"/>
      <c r="B227" s="5"/>
      <c r="C227" s="5"/>
      <c r="D227" s="5"/>
      <c r="W227" s="8"/>
      <c r="X227" s="10"/>
      <c r="Y227" s="10"/>
      <c r="Z227" s="10"/>
    </row>
    <row r="228" spans="1:26" x14ac:dyDescent="0.25">
      <c r="A228" s="4"/>
      <c r="B228" s="5"/>
      <c r="C228" s="5"/>
      <c r="D228" s="5"/>
      <c r="W228" s="8"/>
      <c r="X228" s="10"/>
      <c r="Y228" s="10"/>
      <c r="Z228" s="10"/>
    </row>
    <row r="229" spans="1:26" x14ac:dyDescent="0.25">
      <c r="A229" s="4"/>
      <c r="B229" s="5"/>
      <c r="C229" s="5"/>
      <c r="D229" s="5"/>
      <c r="W229" s="8"/>
      <c r="X229" s="10"/>
      <c r="Y229" s="10"/>
      <c r="Z229" s="10"/>
    </row>
    <row r="230" spans="1:26" x14ac:dyDescent="0.25">
      <c r="A230" s="4"/>
      <c r="B230" s="5"/>
      <c r="C230" s="5"/>
      <c r="D230" s="5"/>
      <c r="W230" s="8"/>
      <c r="X230" s="10"/>
      <c r="Y230" s="10"/>
      <c r="Z230" s="10"/>
    </row>
    <row r="231" spans="1:26" x14ac:dyDescent="0.25">
      <c r="A231" s="4"/>
      <c r="B231" s="5"/>
      <c r="C231" s="5"/>
      <c r="D231" s="5"/>
      <c r="W231" s="8"/>
      <c r="X231" s="10"/>
      <c r="Y231" s="10"/>
      <c r="Z231" s="10"/>
    </row>
    <row r="232" spans="1:26" x14ac:dyDescent="0.25">
      <c r="A232" s="4"/>
      <c r="B232" s="5"/>
      <c r="C232" s="5"/>
      <c r="D232" s="5"/>
      <c r="W232" s="8"/>
      <c r="X232" s="10"/>
      <c r="Y232" s="10"/>
      <c r="Z232" s="10"/>
    </row>
    <row r="233" spans="1:26" x14ac:dyDescent="0.25">
      <c r="A233" s="4"/>
      <c r="B233" s="5"/>
      <c r="C233" s="5"/>
      <c r="D233" s="5"/>
      <c r="W233" s="8"/>
      <c r="X233" s="10"/>
      <c r="Y233" s="10"/>
      <c r="Z233" s="10"/>
    </row>
    <row r="234" spans="1:26" x14ac:dyDescent="0.25">
      <c r="A234" s="4"/>
      <c r="B234" s="5"/>
      <c r="C234" s="5"/>
      <c r="D234" s="5"/>
      <c r="W234" s="8"/>
      <c r="X234" s="10"/>
      <c r="Y234" s="10"/>
      <c r="Z234" s="10"/>
    </row>
    <row r="235" spans="1:26" x14ac:dyDescent="0.25">
      <c r="A235" s="4"/>
      <c r="B235" s="5"/>
      <c r="C235" s="5"/>
      <c r="D235" s="5"/>
      <c r="W235" s="8"/>
      <c r="X235" s="10"/>
      <c r="Y235" s="10"/>
      <c r="Z235" s="10"/>
    </row>
    <row r="236" spans="1:26" x14ac:dyDescent="0.25">
      <c r="A236" s="4"/>
      <c r="B236" s="5"/>
      <c r="C236" s="5"/>
      <c r="D236" s="5"/>
      <c r="W236" s="8"/>
      <c r="X236" s="10"/>
      <c r="Y236" s="10"/>
      <c r="Z236" s="10"/>
    </row>
    <row r="237" spans="1:26" x14ac:dyDescent="0.25">
      <c r="A237" s="4"/>
      <c r="B237" s="5"/>
      <c r="C237" s="5"/>
      <c r="D237" s="5"/>
      <c r="W237" s="8"/>
      <c r="X237" s="10"/>
      <c r="Y237" s="10"/>
      <c r="Z237" s="10"/>
    </row>
    <row r="238" spans="1:26" x14ac:dyDescent="0.25">
      <c r="A238" s="4"/>
      <c r="B238" s="5"/>
      <c r="C238" s="5"/>
      <c r="D238" s="5"/>
      <c r="W238" s="8"/>
      <c r="X238" s="10"/>
      <c r="Y238" s="10"/>
      <c r="Z238" s="10"/>
    </row>
    <row r="239" spans="1:26" x14ac:dyDescent="0.25">
      <c r="A239" s="4"/>
      <c r="B239" s="5"/>
      <c r="C239" s="5"/>
      <c r="D239" s="5"/>
      <c r="W239" s="8"/>
      <c r="X239" s="10"/>
      <c r="Y239" s="10"/>
      <c r="Z239" s="10"/>
    </row>
    <row r="240" spans="1:26" x14ac:dyDescent="0.25">
      <c r="A240" s="4"/>
      <c r="B240" s="5"/>
      <c r="C240" s="5"/>
      <c r="D240" s="5"/>
      <c r="W240" s="8"/>
      <c r="X240" s="10"/>
      <c r="Y240" s="10"/>
      <c r="Z240" s="10"/>
    </row>
    <row r="241" spans="1:26" x14ac:dyDescent="0.25">
      <c r="A241" s="4"/>
      <c r="B241" s="5"/>
      <c r="C241" s="5"/>
      <c r="D241" s="5"/>
      <c r="W241" s="8"/>
      <c r="X241" s="10"/>
      <c r="Y241" s="10"/>
      <c r="Z241" s="10"/>
    </row>
    <row r="242" spans="1:26" x14ac:dyDescent="0.25">
      <c r="A242" s="4"/>
      <c r="B242" s="5"/>
      <c r="C242" s="5"/>
      <c r="D242" s="5"/>
      <c r="W242" s="8"/>
      <c r="X242" s="10"/>
      <c r="Y242" s="10"/>
      <c r="Z242" s="10"/>
    </row>
    <row r="243" spans="1:26" x14ac:dyDescent="0.25">
      <c r="A243" s="4"/>
      <c r="B243" s="5"/>
      <c r="C243" s="5"/>
      <c r="D243" s="5"/>
      <c r="W243" s="8"/>
      <c r="X243" s="10"/>
      <c r="Y243" s="10"/>
      <c r="Z243" s="10"/>
    </row>
    <row r="244" spans="1:26" x14ac:dyDescent="0.25">
      <c r="A244" s="4"/>
      <c r="B244" s="5"/>
      <c r="C244" s="5"/>
      <c r="D244" s="5"/>
      <c r="W244" s="8"/>
      <c r="X244" s="10"/>
      <c r="Y244" s="10"/>
      <c r="Z244" s="10"/>
    </row>
    <row r="245" spans="1:26" x14ac:dyDescent="0.25">
      <c r="A245" s="4"/>
      <c r="B245" s="5"/>
      <c r="C245" s="5"/>
      <c r="D245" s="5"/>
      <c r="W245" s="8"/>
      <c r="X245" s="10"/>
      <c r="Y245" s="10"/>
      <c r="Z245" s="10"/>
    </row>
    <row r="246" spans="1:26" x14ac:dyDescent="0.25">
      <c r="A246" s="4"/>
      <c r="B246" s="5"/>
      <c r="C246" s="5"/>
      <c r="D246" s="5"/>
      <c r="W246" s="8"/>
      <c r="X246" s="10"/>
      <c r="Y246" s="10"/>
      <c r="Z246" s="10"/>
    </row>
    <row r="247" spans="1:26" x14ac:dyDescent="0.25">
      <c r="A247" s="4"/>
      <c r="B247" s="5"/>
      <c r="C247" s="5"/>
      <c r="D247" s="5"/>
      <c r="W247" s="8"/>
      <c r="X247" s="10"/>
      <c r="Y247" s="10"/>
      <c r="Z247" s="10"/>
    </row>
    <row r="248" spans="1:26" x14ac:dyDescent="0.25">
      <c r="A248" s="4"/>
      <c r="B248" s="5"/>
      <c r="C248" s="5"/>
      <c r="D248" s="5"/>
      <c r="W248" s="8"/>
      <c r="X248" s="10"/>
      <c r="Y248" s="10"/>
      <c r="Z248" s="10"/>
    </row>
    <row r="249" spans="1:26" x14ac:dyDescent="0.25">
      <c r="A249" s="4"/>
      <c r="B249" s="5"/>
      <c r="C249" s="5"/>
      <c r="D249" s="5"/>
      <c r="W249" s="8"/>
      <c r="X249" s="10"/>
      <c r="Y249" s="10"/>
      <c r="Z249" s="10"/>
    </row>
    <row r="250" spans="1:26" x14ac:dyDescent="0.25">
      <c r="A250" s="4"/>
      <c r="B250" s="5"/>
      <c r="C250" s="5"/>
      <c r="D250" s="5"/>
      <c r="W250" s="8"/>
      <c r="X250" s="10"/>
      <c r="Y250" s="10"/>
      <c r="Z250" s="10"/>
    </row>
    <row r="251" spans="1:26" x14ac:dyDescent="0.25">
      <c r="A251" s="4"/>
      <c r="B251" s="5"/>
      <c r="C251" s="5"/>
      <c r="D251" s="5"/>
      <c r="W251" s="8"/>
      <c r="X251" s="10"/>
      <c r="Y251" s="10"/>
      <c r="Z251" s="10"/>
    </row>
    <row r="252" spans="1:26" x14ac:dyDescent="0.25">
      <c r="A252" s="4"/>
      <c r="B252" s="5"/>
      <c r="C252" s="5"/>
      <c r="D252" s="5"/>
      <c r="W252" s="8"/>
      <c r="X252" s="10"/>
      <c r="Y252" s="10"/>
      <c r="Z252" s="10"/>
    </row>
    <row r="253" spans="1:26" x14ac:dyDescent="0.25">
      <c r="A253" s="4"/>
      <c r="B253" s="5"/>
      <c r="C253" s="5"/>
      <c r="D253" s="5"/>
      <c r="W253" s="8"/>
      <c r="X253" s="10"/>
      <c r="Y253" s="10"/>
      <c r="Z253" s="10"/>
    </row>
    <row r="254" spans="1:26" x14ac:dyDescent="0.25">
      <c r="A254" s="4"/>
      <c r="B254" s="5"/>
      <c r="C254" s="5"/>
      <c r="D254" s="5"/>
      <c r="W254" s="8"/>
      <c r="X254" s="10"/>
      <c r="Y254" s="10"/>
      <c r="Z254" s="10"/>
    </row>
    <row r="255" spans="1:26" x14ac:dyDescent="0.25">
      <c r="A255" s="4"/>
      <c r="B255" s="5"/>
      <c r="C255" s="5"/>
      <c r="D255" s="5"/>
      <c r="W255" s="8"/>
      <c r="X255" s="10"/>
      <c r="Y255" s="10"/>
      <c r="Z255" s="10"/>
    </row>
    <row r="256" spans="1:26" x14ac:dyDescent="0.25">
      <c r="A256" s="4"/>
      <c r="B256" s="5"/>
      <c r="C256" s="5"/>
      <c r="D256" s="5"/>
      <c r="W256" s="8"/>
      <c r="X256" s="10"/>
      <c r="Y256" s="10"/>
      <c r="Z256" s="10"/>
    </row>
    <row r="257" spans="1:26" x14ac:dyDescent="0.25">
      <c r="A257" s="4"/>
      <c r="B257" s="5"/>
      <c r="C257" s="5"/>
      <c r="D257" s="5"/>
      <c r="W257" s="8"/>
      <c r="X257" s="10"/>
      <c r="Y257" s="10"/>
      <c r="Z257" s="10"/>
    </row>
    <row r="258" spans="1:26" x14ac:dyDescent="0.25">
      <c r="A258" s="4"/>
      <c r="B258" s="5"/>
      <c r="C258" s="5"/>
      <c r="D258" s="5"/>
      <c r="W258" s="8"/>
      <c r="X258" s="10"/>
      <c r="Y258" s="10"/>
      <c r="Z258" s="10"/>
    </row>
    <row r="259" spans="1:26" x14ac:dyDescent="0.25">
      <c r="A259" s="4"/>
      <c r="B259" s="5"/>
      <c r="C259" s="5"/>
      <c r="D259" s="5"/>
      <c r="W259" s="8"/>
      <c r="X259" s="10"/>
      <c r="Y259" s="10"/>
      <c r="Z259" s="10"/>
    </row>
    <row r="260" spans="1:26" x14ac:dyDescent="0.25">
      <c r="A260" s="4"/>
      <c r="B260" s="5"/>
      <c r="C260" s="5"/>
      <c r="D260" s="5"/>
      <c r="W260" s="8"/>
      <c r="X260" s="10"/>
      <c r="Y260" s="10"/>
      <c r="Z260" s="10"/>
    </row>
    <row r="261" spans="1:26" x14ac:dyDescent="0.25">
      <c r="A261" s="4"/>
      <c r="B261" s="5"/>
      <c r="C261" s="5"/>
      <c r="D261" s="5"/>
      <c r="W261" s="8"/>
      <c r="X261" s="10"/>
      <c r="Y261" s="10"/>
      <c r="Z261" s="10"/>
    </row>
    <row r="262" spans="1:26" x14ac:dyDescent="0.25">
      <c r="A262" s="4"/>
      <c r="B262" s="5"/>
      <c r="C262" s="5"/>
      <c r="D262" s="5"/>
      <c r="W262" s="8"/>
      <c r="X262" s="10"/>
      <c r="Y262" s="10"/>
      <c r="Z262" s="10"/>
    </row>
    <row r="263" spans="1:26" x14ac:dyDescent="0.25">
      <c r="A263" s="4"/>
      <c r="B263" s="5"/>
      <c r="C263" s="5"/>
      <c r="D263" s="5"/>
      <c r="W263" s="8"/>
      <c r="X263" s="10"/>
      <c r="Y263" s="10"/>
      <c r="Z263" s="10"/>
    </row>
    <row r="264" spans="1:26" x14ac:dyDescent="0.25">
      <c r="A264" s="4"/>
      <c r="B264" s="5"/>
      <c r="C264" s="5"/>
      <c r="D264" s="5"/>
      <c r="W264" s="8"/>
      <c r="X264" s="10"/>
      <c r="Y264" s="10"/>
      <c r="Z264" s="10"/>
    </row>
    <row r="265" spans="1:26" x14ac:dyDescent="0.25">
      <c r="A265" s="4"/>
      <c r="B265" s="5"/>
      <c r="C265" s="5"/>
      <c r="D265" s="5"/>
      <c r="W265" s="8"/>
      <c r="X265" s="10"/>
      <c r="Y265" s="10"/>
      <c r="Z265" s="10"/>
    </row>
    <row r="266" spans="1:26" x14ac:dyDescent="0.25">
      <c r="A266" s="4"/>
      <c r="B266" s="5"/>
      <c r="C266" s="5"/>
      <c r="D266" s="5"/>
      <c r="W266" s="8"/>
      <c r="X266" s="10"/>
      <c r="Y266" s="10"/>
      <c r="Z266" s="10"/>
    </row>
    <row r="267" spans="1:26" x14ac:dyDescent="0.25">
      <c r="A267" s="4"/>
      <c r="B267" s="5"/>
      <c r="C267" s="5"/>
      <c r="D267" s="5"/>
      <c r="W267" s="8"/>
      <c r="X267" s="10"/>
      <c r="Y267" s="10"/>
      <c r="Z267" s="10"/>
    </row>
    <row r="268" spans="1:26" x14ac:dyDescent="0.25">
      <c r="A268" s="4"/>
      <c r="B268" s="5"/>
      <c r="C268" s="5"/>
      <c r="D268" s="5"/>
      <c r="W268" s="8"/>
      <c r="X268" s="10"/>
      <c r="Y268" s="10"/>
      <c r="Z268" s="10"/>
    </row>
    <row r="269" spans="1:26" x14ac:dyDescent="0.25">
      <c r="A269" s="4"/>
      <c r="B269" s="5"/>
      <c r="C269" s="5"/>
      <c r="D269" s="5"/>
      <c r="W269" s="8"/>
      <c r="X269" s="10"/>
      <c r="Y269" s="10"/>
      <c r="Z269" s="10"/>
    </row>
    <row r="270" spans="1:26" x14ac:dyDescent="0.25">
      <c r="A270" s="4"/>
      <c r="B270" s="5"/>
      <c r="C270" s="5"/>
      <c r="D270" s="5"/>
      <c r="W270" s="8"/>
      <c r="X270" s="10"/>
      <c r="Y270" s="10"/>
      <c r="Z270" s="10"/>
    </row>
    <row r="271" spans="1:26" x14ac:dyDescent="0.25">
      <c r="A271" s="4"/>
      <c r="B271" s="5"/>
      <c r="C271" s="5"/>
      <c r="D271" s="5"/>
      <c r="W271" s="8"/>
      <c r="X271" s="10"/>
      <c r="Y271" s="10"/>
      <c r="Z271" s="10"/>
    </row>
    <row r="272" spans="1:26" x14ac:dyDescent="0.25">
      <c r="A272" s="4"/>
      <c r="B272" s="5"/>
      <c r="C272" s="5"/>
      <c r="D272" s="5"/>
      <c r="W272" s="8"/>
      <c r="X272" s="10"/>
      <c r="Y272" s="10"/>
      <c r="Z272" s="10"/>
    </row>
    <row r="273" spans="1:26" x14ac:dyDescent="0.25">
      <c r="A273" s="4"/>
      <c r="B273" s="5"/>
      <c r="C273" s="5"/>
      <c r="D273" s="5"/>
      <c r="W273" s="8"/>
      <c r="X273" s="10"/>
      <c r="Y273" s="10"/>
      <c r="Z273" s="10"/>
    </row>
    <row r="274" spans="1:26" x14ac:dyDescent="0.25">
      <c r="A274" s="4"/>
      <c r="B274" s="5"/>
      <c r="C274" s="5"/>
      <c r="D274" s="5"/>
      <c r="W274" s="8"/>
      <c r="X274" s="10"/>
      <c r="Y274" s="10"/>
      <c r="Z274" s="10"/>
    </row>
    <row r="275" spans="1:26" x14ac:dyDescent="0.25">
      <c r="A275" s="4"/>
      <c r="B275" s="5"/>
      <c r="C275" s="5"/>
      <c r="D275" s="5"/>
      <c r="W275" s="8"/>
      <c r="X275" s="10"/>
      <c r="Y275" s="10"/>
      <c r="Z275" s="10"/>
    </row>
    <row r="276" spans="1:26" x14ac:dyDescent="0.25">
      <c r="A276" s="4"/>
      <c r="B276" s="5"/>
      <c r="C276" s="5"/>
      <c r="D276" s="5"/>
      <c r="W276" s="8"/>
      <c r="X276" s="10"/>
      <c r="Y276" s="10"/>
      <c r="Z276" s="10"/>
    </row>
    <row r="277" spans="1:26" x14ac:dyDescent="0.25">
      <c r="A277" s="4"/>
      <c r="B277" s="5"/>
      <c r="C277" s="5"/>
      <c r="D277" s="5"/>
      <c r="W277" s="8"/>
      <c r="X277" s="10"/>
      <c r="Y277" s="10"/>
      <c r="Z277" s="10"/>
    </row>
    <row r="278" spans="1:26" x14ac:dyDescent="0.25">
      <c r="A278" s="4"/>
      <c r="B278" s="5"/>
      <c r="C278" s="5"/>
      <c r="D278" s="5"/>
      <c r="W278" s="8"/>
      <c r="X278" s="10"/>
      <c r="Y278" s="10"/>
      <c r="Z278" s="10"/>
    </row>
    <row r="279" spans="1:26" x14ac:dyDescent="0.25">
      <c r="A279" s="4"/>
      <c r="B279" s="5"/>
      <c r="C279" s="5"/>
      <c r="D279" s="5"/>
      <c r="W279" s="8"/>
      <c r="X279" s="10"/>
      <c r="Y279" s="10"/>
      <c r="Z279" s="10"/>
    </row>
    <row r="280" spans="1:26" x14ac:dyDescent="0.25">
      <c r="A280" s="4"/>
      <c r="B280" s="5"/>
      <c r="C280" s="5"/>
      <c r="D280" s="5"/>
      <c r="W280" s="8"/>
      <c r="X280" s="10"/>
      <c r="Y280" s="10"/>
      <c r="Z280" s="10"/>
    </row>
    <row r="281" spans="1:26" x14ac:dyDescent="0.25">
      <c r="A281" s="4"/>
      <c r="B281" s="5"/>
      <c r="C281" s="5"/>
      <c r="D281" s="5"/>
      <c r="W281" s="8"/>
      <c r="X281" s="10"/>
      <c r="Y281" s="10"/>
      <c r="Z281" s="10"/>
    </row>
    <row r="282" spans="1:26" x14ac:dyDescent="0.25">
      <c r="A282" s="4"/>
      <c r="B282" s="5"/>
      <c r="C282" s="5"/>
      <c r="D282" s="5"/>
      <c r="W282" s="8"/>
      <c r="X282" s="10"/>
      <c r="Y282" s="10"/>
      <c r="Z282" s="10"/>
    </row>
    <row r="283" spans="1:26" x14ac:dyDescent="0.25">
      <c r="A283" s="4"/>
      <c r="B283" s="5"/>
      <c r="C283" s="5"/>
      <c r="D283" s="5"/>
      <c r="W283" s="8"/>
      <c r="X283" s="10"/>
      <c r="Y283" s="10"/>
      <c r="Z283" s="10"/>
    </row>
    <row r="284" spans="1:26" x14ac:dyDescent="0.25">
      <c r="A284" s="4"/>
      <c r="B284" s="5"/>
      <c r="C284" s="5"/>
      <c r="D284" s="5"/>
      <c r="W284" s="8"/>
      <c r="X284" s="10"/>
      <c r="Y284" s="10"/>
      <c r="Z284" s="10"/>
    </row>
    <row r="285" spans="1:26" x14ac:dyDescent="0.25">
      <c r="A285" s="4"/>
      <c r="B285" s="5"/>
      <c r="C285" s="5"/>
      <c r="D285" s="5"/>
      <c r="W285" s="8"/>
      <c r="X285" s="10"/>
      <c r="Y285" s="10"/>
      <c r="Z285" s="10"/>
    </row>
    <row r="286" spans="1:26" x14ac:dyDescent="0.25">
      <c r="A286" s="4"/>
      <c r="B286" s="5"/>
      <c r="C286" s="5"/>
      <c r="D286" s="5"/>
      <c r="W286" s="8"/>
      <c r="X286" s="10"/>
      <c r="Y286" s="10"/>
      <c r="Z286" s="10"/>
    </row>
    <row r="287" spans="1:26" x14ac:dyDescent="0.25">
      <c r="A287" s="4"/>
      <c r="B287" s="5"/>
      <c r="C287" s="5"/>
      <c r="D287" s="5"/>
      <c r="W287" s="8"/>
      <c r="X287" s="10"/>
      <c r="Y287" s="10"/>
      <c r="Z287" s="10"/>
    </row>
    <row r="288" spans="1:26" x14ac:dyDescent="0.25">
      <c r="A288" s="4"/>
      <c r="B288" s="5"/>
      <c r="C288" s="5"/>
      <c r="D288" s="5"/>
      <c r="W288" s="8"/>
      <c r="X288" s="10"/>
      <c r="Y288" s="10"/>
      <c r="Z288" s="10"/>
    </row>
    <row r="289" spans="1:26" x14ac:dyDescent="0.25">
      <c r="A289" s="4"/>
      <c r="B289" s="5"/>
      <c r="C289" s="5"/>
      <c r="D289" s="5"/>
      <c r="W289" s="8"/>
      <c r="X289" s="10"/>
      <c r="Y289" s="10"/>
      <c r="Z289" s="10"/>
    </row>
    <row r="290" spans="1:26" x14ac:dyDescent="0.25">
      <c r="A290" s="4"/>
      <c r="B290" s="5"/>
      <c r="C290" s="5"/>
      <c r="D290" s="5"/>
      <c r="W290" s="8"/>
      <c r="X290" s="10"/>
      <c r="Y290" s="10"/>
      <c r="Z290" s="10"/>
    </row>
    <row r="291" spans="1:26" x14ac:dyDescent="0.25">
      <c r="A291" s="4"/>
      <c r="B291" s="5"/>
      <c r="C291" s="5"/>
      <c r="D291" s="5"/>
      <c r="W291" s="8"/>
      <c r="X291" s="10"/>
      <c r="Y291" s="10"/>
      <c r="Z291" s="10"/>
    </row>
    <row r="292" spans="1:26" x14ac:dyDescent="0.25">
      <c r="A292" s="4"/>
      <c r="B292" s="5"/>
      <c r="C292" s="5"/>
      <c r="D292" s="5"/>
      <c r="W292" s="8"/>
      <c r="X292" s="10"/>
      <c r="Y292" s="10"/>
      <c r="Z292" s="10"/>
    </row>
    <row r="293" spans="1:26" x14ac:dyDescent="0.25">
      <c r="A293" s="4"/>
      <c r="B293" s="5"/>
      <c r="C293" s="5"/>
      <c r="D293" s="5"/>
      <c r="W293" s="8"/>
      <c r="X293" s="10"/>
      <c r="Y293" s="10"/>
      <c r="Z293" s="10"/>
    </row>
    <row r="294" spans="1:26" x14ac:dyDescent="0.25">
      <c r="A294" s="4"/>
      <c r="B294" s="5"/>
      <c r="C294" s="5"/>
      <c r="D294" s="5"/>
      <c r="W294" s="8"/>
      <c r="X294" s="10"/>
      <c r="Y294" s="10"/>
      <c r="Z294" s="10"/>
    </row>
    <row r="295" spans="1:26" x14ac:dyDescent="0.25">
      <c r="A295" s="4"/>
      <c r="B295" s="5"/>
      <c r="C295" s="5"/>
      <c r="D295" s="5"/>
      <c r="W295" s="8"/>
      <c r="X295" s="10"/>
      <c r="Y295" s="10"/>
      <c r="Z295" s="10"/>
    </row>
    <row r="296" spans="1:26" x14ac:dyDescent="0.25">
      <c r="A296" s="4"/>
      <c r="B296" s="5"/>
      <c r="C296" s="5"/>
      <c r="D296" s="5"/>
      <c r="W296" s="8"/>
      <c r="X296" s="10"/>
      <c r="Y296" s="10"/>
      <c r="Z296" s="10"/>
    </row>
    <row r="297" spans="1:26" x14ac:dyDescent="0.25">
      <c r="A297" s="4"/>
      <c r="B297" s="5"/>
      <c r="C297" s="5"/>
      <c r="D297" s="5"/>
      <c r="W297" s="8"/>
      <c r="X297" s="10"/>
      <c r="Y297" s="10"/>
      <c r="Z297" s="10"/>
    </row>
    <row r="298" spans="1:26" x14ac:dyDescent="0.25">
      <c r="A298" s="4"/>
      <c r="B298" s="5"/>
      <c r="C298" s="5"/>
      <c r="D298" s="5"/>
      <c r="W298" s="8"/>
      <c r="X298" s="10"/>
      <c r="Y298" s="10"/>
      <c r="Z298" s="10"/>
    </row>
    <row r="299" spans="1:26" x14ac:dyDescent="0.25">
      <c r="A299" s="4"/>
      <c r="B299" s="5"/>
      <c r="C299" s="5"/>
      <c r="D299" s="5"/>
      <c r="W299" s="8"/>
      <c r="X299" s="10"/>
      <c r="Y299" s="10"/>
      <c r="Z299" s="10"/>
    </row>
    <row r="300" spans="1:26" x14ac:dyDescent="0.25">
      <c r="A300" s="4"/>
      <c r="B300" s="5"/>
      <c r="C300" s="5"/>
      <c r="D300" s="5"/>
      <c r="W300" s="8"/>
      <c r="X300" s="10"/>
      <c r="Y300" s="10"/>
      <c r="Z300" s="10"/>
    </row>
    <row r="301" spans="1:26" x14ac:dyDescent="0.25">
      <c r="A301" s="4"/>
      <c r="B301" s="5"/>
      <c r="C301" s="5"/>
      <c r="D301" s="5"/>
      <c r="W301" s="8"/>
      <c r="X301" s="10"/>
      <c r="Y301" s="10"/>
      <c r="Z301" s="10"/>
    </row>
    <row r="302" spans="1:26" x14ac:dyDescent="0.25">
      <c r="A302" s="4"/>
      <c r="B302" s="5"/>
      <c r="C302" s="5"/>
      <c r="D302" s="5"/>
      <c r="W302" s="8"/>
      <c r="X302" s="10"/>
      <c r="Y302" s="10"/>
      <c r="Z302" s="10"/>
    </row>
    <row r="303" spans="1:26" x14ac:dyDescent="0.25">
      <c r="A303" s="4"/>
      <c r="B303" s="5"/>
      <c r="C303" s="5"/>
      <c r="D303" s="5"/>
      <c r="W303" s="8"/>
      <c r="X303" s="10"/>
      <c r="Y303" s="10"/>
      <c r="Z303" s="10"/>
    </row>
    <row r="304" spans="1:26" x14ac:dyDescent="0.25">
      <c r="A304" s="4"/>
      <c r="B304" s="5"/>
      <c r="C304" s="5"/>
      <c r="D304" s="5"/>
      <c r="W304" s="8"/>
      <c r="X304" s="10"/>
      <c r="Y304" s="10"/>
      <c r="Z304" s="10"/>
    </row>
    <row r="305" spans="1:26" x14ac:dyDescent="0.25">
      <c r="A305" s="4"/>
      <c r="B305" s="5"/>
      <c r="C305" s="5"/>
      <c r="D305" s="5"/>
      <c r="W305" s="8"/>
      <c r="X305" s="10"/>
      <c r="Y305" s="10"/>
      <c r="Z305" s="10"/>
    </row>
    <row r="306" spans="1:26" x14ac:dyDescent="0.25">
      <c r="A306" s="4"/>
      <c r="B306" s="5"/>
      <c r="C306" s="5"/>
      <c r="D306" s="5"/>
      <c r="W306" s="8"/>
      <c r="X306" s="10"/>
      <c r="Y306" s="10"/>
      <c r="Z306" s="10"/>
    </row>
    <row r="307" spans="1:26" x14ac:dyDescent="0.25">
      <c r="A307" s="4"/>
      <c r="B307" s="5"/>
      <c r="C307" s="5"/>
      <c r="D307" s="5"/>
      <c r="W307" s="8"/>
      <c r="X307" s="10"/>
      <c r="Y307" s="10"/>
      <c r="Z307" s="10"/>
    </row>
    <row r="308" spans="1:26" x14ac:dyDescent="0.25">
      <c r="A308" s="4"/>
      <c r="B308" s="5"/>
      <c r="C308" s="5"/>
      <c r="D308" s="5"/>
      <c r="W308" s="8"/>
      <c r="X308" s="10"/>
      <c r="Y308" s="10"/>
      <c r="Z308" s="10"/>
    </row>
    <row r="309" spans="1:26" x14ac:dyDescent="0.25">
      <c r="A309" s="4"/>
      <c r="B309" s="5"/>
      <c r="C309" s="5"/>
      <c r="D309" s="5"/>
      <c r="W309" s="8"/>
      <c r="X309" s="10"/>
      <c r="Y309" s="10"/>
      <c r="Z309" s="10"/>
    </row>
    <row r="310" spans="1:26" x14ac:dyDescent="0.25">
      <c r="A310" s="4"/>
      <c r="B310" s="5"/>
      <c r="C310" s="5"/>
      <c r="D310" s="5"/>
      <c r="W310" s="8"/>
      <c r="X310" s="10"/>
      <c r="Y310" s="10"/>
      <c r="Z310" s="10"/>
    </row>
    <row r="311" spans="1:26" x14ac:dyDescent="0.25">
      <c r="A311" s="4"/>
      <c r="B311" s="5"/>
      <c r="C311" s="5"/>
      <c r="D311" s="5"/>
      <c r="W311" s="8"/>
      <c r="X311" s="10"/>
      <c r="Y311" s="10"/>
      <c r="Z311" s="10"/>
    </row>
    <row r="312" spans="1:26" x14ac:dyDescent="0.25">
      <c r="A312" s="4"/>
      <c r="B312" s="5"/>
      <c r="C312" s="5"/>
      <c r="D312" s="5"/>
      <c r="W312" s="8"/>
      <c r="X312" s="10"/>
      <c r="Y312" s="10"/>
      <c r="Z312" s="10"/>
    </row>
    <row r="313" spans="1:26" x14ac:dyDescent="0.25">
      <c r="A313" s="4"/>
      <c r="B313" s="5"/>
      <c r="C313" s="5"/>
      <c r="D313" s="5"/>
      <c r="W313" s="8"/>
      <c r="X313" s="10"/>
      <c r="Y313" s="10"/>
      <c r="Z313" s="10"/>
    </row>
    <row r="314" spans="1:26" x14ac:dyDescent="0.25">
      <c r="A314" s="4"/>
      <c r="B314" s="5"/>
      <c r="C314" s="5"/>
      <c r="D314" s="5"/>
      <c r="W314" s="8"/>
      <c r="X314" s="10"/>
      <c r="Y314" s="10"/>
      <c r="Z314" s="10"/>
    </row>
    <row r="315" spans="1:26" x14ac:dyDescent="0.25">
      <c r="A315" s="4"/>
      <c r="B315" s="5"/>
      <c r="C315" s="5"/>
      <c r="D315" s="5"/>
      <c r="W315" s="8"/>
      <c r="X315" s="10"/>
      <c r="Y315" s="10"/>
      <c r="Z315" s="10"/>
    </row>
    <row r="316" spans="1:26" x14ac:dyDescent="0.25">
      <c r="A316" s="4"/>
      <c r="B316" s="5"/>
      <c r="C316" s="5"/>
      <c r="D316" s="5"/>
      <c r="W316" s="8"/>
      <c r="X316" s="10"/>
      <c r="Y316" s="10"/>
      <c r="Z316" s="10"/>
    </row>
    <row r="317" spans="1:26" x14ac:dyDescent="0.25">
      <c r="A317" s="4"/>
      <c r="B317" s="5"/>
      <c r="C317" s="5"/>
      <c r="D317" s="5"/>
      <c r="W317" s="8"/>
      <c r="X317" s="10"/>
      <c r="Y317" s="10"/>
      <c r="Z317" s="10"/>
    </row>
    <row r="318" spans="1:26" x14ac:dyDescent="0.25">
      <c r="A318" s="4"/>
      <c r="B318" s="5"/>
      <c r="C318" s="5"/>
      <c r="D318" s="5"/>
      <c r="W318" s="8"/>
      <c r="X318" s="10"/>
      <c r="Y318" s="10"/>
      <c r="Z318" s="10"/>
    </row>
    <row r="319" spans="1:26" x14ac:dyDescent="0.25">
      <c r="A319" s="4"/>
      <c r="B319" s="5"/>
      <c r="C319" s="5"/>
      <c r="D319" s="5"/>
      <c r="W319" s="8"/>
      <c r="X319" s="10"/>
      <c r="Y319" s="10"/>
      <c r="Z319" s="10"/>
    </row>
    <row r="320" spans="1:26" x14ac:dyDescent="0.25">
      <c r="A320" s="4"/>
      <c r="B320" s="5"/>
      <c r="C320" s="5"/>
      <c r="D320" s="5"/>
      <c r="W320" s="8"/>
      <c r="X320" s="10"/>
      <c r="Y320" s="10"/>
      <c r="Z320" s="10"/>
    </row>
    <row r="321" spans="1:26" x14ac:dyDescent="0.25">
      <c r="A321" s="4"/>
      <c r="B321" s="5"/>
      <c r="C321" s="5"/>
      <c r="D321" s="5"/>
      <c r="W321" s="8"/>
      <c r="X321" s="10"/>
      <c r="Y321" s="10"/>
      <c r="Z321" s="10"/>
    </row>
    <row r="322" spans="1:26" x14ac:dyDescent="0.25">
      <c r="A322" s="4"/>
      <c r="B322" s="5"/>
      <c r="C322" s="5"/>
      <c r="D322" s="5"/>
      <c r="W322" s="8"/>
      <c r="X322" s="10"/>
      <c r="Y322" s="10"/>
      <c r="Z322" s="10"/>
    </row>
    <row r="323" spans="1:26" x14ac:dyDescent="0.25">
      <c r="A323" s="4"/>
      <c r="B323" s="5"/>
      <c r="C323" s="5"/>
      <c r="D323" s="5"/>
      <c r="W323" s="8"/>
      <c r="X323" s="10"/>
      <c r="Y323" s="10"/>
      <c r="Z323" s="10"/>
    </row>
    <row r="324" spans="1:26" x14ac:dyDescent="0.25">
      <c r="A324" s="4"/>
      <c r="B324" s="5"/>
      <c r="C324" s="5"/>
      <c r="D324" s="5"/>
      <c r="W324" s="8"/>
      <c r="X324" s="10"/>
      <c r="Y324" s="10"/>
      <c r="Z324" s="10"/>
    </row>
    <row r="325" spans="1:26" x14ac:dyDescent="0.25">
      <c r="A325" s="4"/>
      <c r="B325" s="5"/>
      <c r="C325" s="5"/>
      <c r="D325" s="5"/>
      <c r="W325" s="8"/>
      <c r="X325" s="10"/>
      <c r="Y325" s="10"/>
      <c r="Z325" s="10"/>
    </row>
    <row r="326" spans="1:26" x14ac:dyDescent="0.25">
      <c r="A326" s="4"/>
      <c r="B326" s="5"/>
      <c r="C326" s="5"/>
      <c r="D326" s="5"/>
      <c r="W326" s="8"/>
      <c r="X326" s="10"/>
      <c r="Y326" s="10"/>
      <c r="Z326" s="10"/>
    </row>
    <row r="327" spans="1:26" x14ac:dyDescent="0.25">
      <c r="A327" s="4"/>
      <c r="B327" s="5"/>
      <c r="C327" s="5"/>
      <c r="D327" s="5"/>
      <c r="W327" s="8"/>
      <c r="X327" s="10"/>
      <c r="Y327" s="10"/>
      <c r="Z327" s="10"/>
    </row>
    <row r="328" spans="1:26" x14ac:dyDescent="0.25">
      <c r="A328" s="4"/>
      <c r="B328" s="5"/>
      <c r="C328" s="5"/>
      <c r="D328" s="5"/>
      <c r="W328" s="8"/>
      <c r="X328" s="10"/>
      <c r="Y328" s="10"/>
      <c r="Z328" s="10"/>
    </row>
    <row r="329" spans="1:26" x14ac:dyDescent="0.25">
      <c r="A329" s="4"/>
      <c r="B329" s="5"/>
      <c r="C329" s="5"/>
      <c r="D329" s="5"/>
      <c r="W329" s="8"/>
      <c r="X329" s="10"/>
      <c r="Y329" s="10"/>
      <c r="Z329" s="10"/>
    </row>
    <row r="330" spans="1:26" x14ac:dyDescent="0.25">
      <c r="A330" s="4"/>
      <c r="B330" s="5"/>
      <c r="C330" s="5"/>
      <c r="D330" s="5"/>
      <c r="W330" s="8"/>
      <c r="X330" s="10"/>
      <c r="Y330" s="10"/>
      <c r="Z330" s="10"/>
    </row>
    <row r="331" spans="1:26" x14ac:dyDescent="0.25">
      <c r="A331" s="4"/>
      <c r="B331" s="5"/>
      <c r="C331" s="5"/>
      <c r="D331" s="5"/>
      <c r="W331" s="8"/>
      <c r="X331" s="10"/>
      <c r="Y331" s="10"/>
      <c r="Z331" s="10"/>
    </row>
    <row r="332" spans="1:26" x14ac:dyDescent="0.25">
      <c r="A332" s="4"/>
      <c r="B332" s="5"/>
      <c r="C332" s="5"/>
      <c r="D332" s="5"/>
      <c r="W332" s="8"/>
      <c r="X332" s="10"/>
      <c r="Y332" s="10"/>
      <c r="Z332" s="10"/>
    </row>
    <row r="333" spans="1:26" x14ac:dyDescent="0.25">
      <c r="A333" s="4"/>
      <c r="B333" s="5"/>
      <c r="C333" s="5"/>
      <c r="D333" s="5"/>
      <c r="W333" s="8"/>
      <c r="X333" s="10"/>
      <c r="Y333" s="10"/>
      <c r="Z333" s="10"/>
    </row>
    <row r="334" spans="1:26" x14ac:dyDescent="0.25">
      <c r="A334" s="4"/>
      <c r="B334" s="5"/>
      <c r="C334" s="5"/>
      <c r="D334" s="5"/>
      <c r="W334" s="8"/>
      <c r="X334" s="10"/>
      <c r="Y334" s="10"/>
      <c r="Z334" s="10"/>
    </row>
    <row r="335" spans="1:26" x14ac:dyDescent="0.25">
      <c r="A335" s="4"/>
      <c r="B335" s="5"/>
      <c r="C335" s="5"/>
      <c r="D335" s="5"/>
      <c r="W335" s="8"/>
      <c r="X335" s="10"/>
      <c r="Y335" s="10"/>
      <c r="Z335" s="10"/>
    </row>
    <row r="336" spans="1:26" x14ac:dyDescent="0.25">
      <c r="A336" s="4"/>
      <c r="B336" s="5"/>
      <c r="C336" s="5"/>
      <c r="D336" s="5"/>
      <c r="W336" s="8"/>
      <c r="X336" s="10"/>
      <c r="Y336" s="10"/>
      <c r="Z336" s="10"/>
    </row>
    <row r="337" spans="1:26" x14ac:dyDescent="0.25">
      <c r="A337" s="4"/>
      <c r="B337" s="5"/>
      <c r="C337" s="5"/>
      <c r="D337" s="5"/>
      <c r="W337" s="8"/>
      <c r="X337" s="10"/>
      <c r="Y337" s="10"/>
      <c r="Z337" s="10"/>
    </row>
    <row r="338" spans="1:26" x14ac:dyDescent="0.25">
      <c r="A338" s="4"/>
      <c r="B338" s="5"/>
      <c r="C338" s="5"/>
      <c r="D338" s="5"/>
      <c r="W338" s="8"/>
      <c r="X338" s="10"/>
      <c r="Y338" s="10"/>
      <c r="Z338" s="10"/>
    </row>
    <row r="339" spans="1:26" x14ac:dyDescent="0.25">
      <c r="A339" s="4"/>
      <c r="B339" s="5"/>
      <c r="C339" s="5"/>
      <c r="D339" s="5"/>
      <c r="W339" s="8"/>
      <c r="X339" s="10"/>
      <c r="Y339" s="10"/>
      <c r="Z339" s="10"/>
    </row>
    <row r="340" spans="1:26" x14ac:dyDescent="0.25">
      <c r="A340" s="4"/>
      <c r="B340" s="5"/>
      <c r="C340" s="5"/>
      <c r="D340" s="5"/>
      <c r="W340" s="8"/>
      <c r="X340" s="10"/>
      <c r="Y340" s="10"/>
      <c r="Z340" s="10"/>
    </row>
    <row r="341" spans="1:26" x14ac:dyDescent="0.25">
      <c r="A341" s="4"/>
      <c r="B341" s="5"/>
      <c r="C341" s="5"/>
      <c r="D341" s="5"/>
      <c r="W341" s="8"/>
      <c r="X341" s="10"/>
      <c r="Y341" s="10"/>
      <c r="Z341" s="10"/>
    </row>
    <row r="342" spans="1:26" x14ac:dyDescent="0.25">
      <c r="A342" s="4"/>
      <c r="B342" s="5"/>
      <c r="C342" s="5"/>
      <c r="D342" s="5"/>
      <c r="W342" s="8"/>
      <c r="X342" s="10"/>
      <c r="Y342" s="10"/>
      <c r="Z342" s="10"/>
    </row>
    <row r="343" spans="1:26" x14ac:dyDescent="0.25">
      <c r="A343" s="4"/>
      <c r="B343" s="5"/>
      <c r="C343" s="5"/>
      <c r="D343" s="5"/>
      <c r="W343" s="8"/>
      <c r="X343" s="10"/>
      <c r="Y343" s="10"/>
      <c r="Z343" s="10"/>
    </row>
    <row r="344" spans="1:26" x14ac:dyDescent="0.25">
      <c r="A344" s="4"/>
      <c r="B344" s="5"/>
      <c r="C344" s="5"/>
      <c r="D344" s="5"/>
      <c r="W344" s="8"/>
      <c r="X344" s="10"/>
      <c r="Y344" s="10"/>
      <c r="Z344" s="10"/>
    </row>
    <row r="345" spans="1:26" x14ac:dyDescent="0.25">
      <c r="A345" s="4"/>
      <c r="B345" s="5"/>
      <c r="C345" s="5"/>
      <c r="D345" s="5"/>
      <c r="W345" s="8"/>
      <c r="X345" s="10"/>
      <c r="Y345" s="10"/>
      <c r="Z345" s="10"/>
    </row>
    <row r="346" spans="1:26" x14ac:dyDescent="0.25">
      <c r="A346" s="4"/>
      <c r="B346" s="5"/>
      <c r="C346" s="5"/>
      <c r="D346" s="5"/>
      <c r="W346" s="8"/>
      <c r="X346" s="10"/>
      <c r="Y346" s="10"/>
      <c r="Z346" s="10"/>
    </row>
    <row r="347" spans="1:26" x14ac:dyDescent="0.25">
      <c r="A347" s="4"/>
      <c r="B347" s="5"/>
      <c r="C347" s="5"/>
      <c r="D347" s="5"/>
      <c r="W347" s="8"/>
      <c r="X347" s="10"/>
      <c r="Y347" s="10"/>
      <c r="Z347" s="10"/>
    </row>
    <row r="348" spans="1:26" x14ac:dyDescent="0.25">
      <c r="A348" s="4"/>
      <c r="B348" s="5"/>
      <c r="C348" s="5"/>
      <c r="D348" s="5"/>
      <c r="W348" s="8"/>
      <c r="X348" s="10"/>
      <c r="Y348" s="10"/>
      <c r="Z348" s="10"/>
    </row>
    <row r="349" spans="1:26" x14ac:dyDescent="0.25">
      <c r="A349" s="4"/>
      <c r="B349" s="5"/>
      <c r="C349" s="5"/>
      <c r="D349" s="5"/>
      <c r="W349" s="8"/>
      <c r="X349" s="10"/>
      <c r="Y349" s="10"/>
      <c r="Z349" s="10"/>
    </row>
    <row r="350" spans="1:26" x14ac:dyDescent="0.25">
      <c r="A350" s="4"/>
      <c r="B350" s="5"/>
      <c r="C350" s="5"/>
      <c r="D350" s="5"/>
      <c r="W350" s="8"/>
      <c r="X350" s="10"/>
      <c r="Y350" s="10"/>
      <c r="Z350" s="10"/>
    </row>
    <row r="351" spans="1:26" x14ac:dyDescent="0.25">
      <c r="A351" s="4"/>
      <c r="B351" s="5"/>
      <c r="C351" s="5"/>
      <c r="D351" s="5"/>
      <c r="W351" s="8"/>
      <c r="X351" s="10"/>
      <c r="Y351" s="10"/>
      <c r="Z351" s="10"/>
    </row>
    <row r="352" spans="1:26" x14ac:dyDescent="0.25">
      <c r="A352" s="4"/>
      <c r="B352" s="5"/>
      <c r="C352" s="5"/>
      <c r="D352" s="5"/>
      <c r="W352" s="8"/>
      <c r="X352" s="10"/>
      <c r="Y352" s="10"/>
      <c r="Z352" s="10"/>
    </row>
    <row r="353" spans="1:26" x14ac:dyDescent="0.25">
      <c r="A353" s="4"/>
      <c r="B353" s="5"/>
      <c r="C353" s="5"/>
      <c r="D353" s="5"/>
      <c r="W353" s="8"/>
      <c r="X353" s="10"/>
      <c r="Y353" s="10"/>
      <c r="Z353" s="10"/>
    </row>
    <row r="354" spans="1:26" x14ac:dyDescent="0.25">
      <c r="A354" s="4"/>
      <c r="B354" s="5"/>
      <c r="C354" s="5"/>
      <c r="D354" s="5"/>
      <c r="W354" s="8"/>
      <c r="X354" s="10"/>
      <c r="Y354" s="10"/>
      <c r="Z354" s="10"/>
    </row>
    <row r="355" spans="1:26" x14ac:dyDescent="0.25">
      <c r="A355" s="4"/>
      <c r="B355" s="5"/>
      <c r="C355" s="5"/>
      <c r="D355" s="5"/>
      <c r="W355" s="8"/>
      <c r="X355" s="10"/>
      <c r="Y355" s="10"/>
      <c r="Z355" s="10"/>
    </row>
    <row r="356" spans="1:26" x14ac:dyDescent="0.25">
      <c r="A356" s="4"/>
      <c r="B356" s="5"/>
      <c r="C356" s="5"/>
      <c r="D356" s="5"/>
      <c r="W356" s="8"/>
      <c r="X356" s="10"/>
      <c r="Y356" s="10"/>
      <c r="Z356" s="10"/>
    </row>
    <row r="357" spans="1:26" x14ac:dyDescent="0.25">
      <c r="A357" s="4"/>
      <c r="B357" s="5"/>
      <c r="C357" s="5"/>
      <c r="D357" s="5"/>
      <c r="W357" s="8"/>
      <c r="X357" s="10"/>
      <c r="Y357" s="10"/>
      <c r="Z357" s="10"/>
    </row>
    <row r="358" spans="1:26" x14ac:dyDescent="0.25">
      <c r="A358" s="4"/>
      <c r="B358" s="5"/>
      <c r="C358" s="5"/>
      <c r="D358" s="5"/>
      <c r="W358" s="8"/>
      <c r="X358" s="10"/>
      <c r="Y358" s="10"/>
      <c r="Z358" s="10"/>
    </row>
    <row r="359" spans="1:26" x14ac:dyDescent="0.25">
      <c r="A359" s="4"/>
      <c r="B359" s="5"/>
      <c r="C359" s="5"/>
      <c r="D359" s="5"/>
      <c r="W359" s="8"/>
      <c r="X359" s="10"/>
      <c r="Y359" s="10"/>
      <c r="Z359" s="10"/>
    </row>
    <row r="360" spans="1:26" x14ac:dyDescent="0.25">
      <c r="A360" s="4"/>
      <c r="B360" s="5"/>
      <c r="C360" s="5"/>
      <c r="D360" s="5"/>
      <c r="W360" s="8"/>
      <c r="X360" s="10"/>
      <c r="Y360" s="10"/>
      <c r="Z360" s="10"/>
    </row>
    <row r="361" spans="1:26" x14ac:dyDescent="0.25">
      <c r="A361" s="4"/>
      <c r="B361" s="5"/>
      <c r="C361" s="5"/>
      <c r="D361" s="5"/>
      <c r="W361" s="8"/>
      <c r="X361" s="10"/>
      <c r="Y361" s="10"/>
      <c r="Z361" s="10"/>
    </row>
    <row r="362" spans="1:26" x14ac:dyDescent="0.25">
      <c r="A362" s="4"/>
      <c r="B362" s="5"/>
      <c r="C362" s="5"/>
      <c r="D362" s="5"/>
      <c r="W362" s="8"/>
      <c r="X362" s="10"/>
      <c r="Y362" s="10"/>
      <c r="Z362" s="10"/>
    </row>
    <row r="363" spans="1:26" x14ac:dyDescent="0.25">
      <c r="A363" s="4"/>
      <c r="B363" s="5"/>
      <c r="C363" s="5"/>
      <c r="D363" s="5"/>
      <c r="W363" s="8"/>
      <c r="X363" s="10"/>
      <c r="Y363" s="10"/>
      <c r="Z363" s="10"/>
    </row>
    <row r="364" spans="1:26" x14ac:dyDescent="0.25">
      <c r="A364" s="4"/>
      <c r="B364" s="5"/>
      <c r="C364" s="5"/>
      <c r="D364" s="5"/>
      <c r="W364" s="8"/>
      <c r="X364" s="10"/>
      <c r="Y364" s="10"/>
      <c r="Z364" s="10"/>
    </row>
    <row r="365" spans="1:26" x14ac:dyDescent="0.25">
      <c r="A365" s="4"/>
      <c r="B365" s="5"/>
      <c r="C365" s="5"/>
      <c r="D365" s="5"/>
      <c r="W365" s="8"/>
      <c r="X365" s="10"/>
      <c r="Y365" s="10"/>
      <c r="Z365" s="10"/>
    </row>
    <row r="366" spans="1:26" x14ac:dyDescent="0.25">
      <c r="A366" s="4"/>
      <c r="B366" s="5"/>
      <c r="C366" s="5"/>
      <c r="D366" s="5"/>
      <c r="W366" s="8"/>
      <c r="X366" s="10"/>
      <c r="Y366" s="10"/>
      <c r="Z366" s="10"/>
    </row>
    <row r="367" spans="1:26" x14ac:dyDescent="0.25">
      <c r="A367" s="4"/>
      <c r="B367" s="5"/>
      <c r="C367" s="5"/>
      <c r="D367" s="5"/>
      <c r="W367" s="8"/>
      <c r="X367" s="10"/>
      <c r="Y367" s="10"/>
      <c r="Z367" s="10"/>
    </row>
    <row r="368" spans="1:26" x14ac:dyDescent="0.25">
      <c r="A368" s="4"/>
      <c r="B368" s="5"/>
      <c r="C368" s="5"/>
      <c r="D368" s="5"/>
      <c r="W368" s="8"/>
      <c r="X368" s="10"/>
      <c r="Y368" s="10"/>
      <c r="Z368" s="10"/>
    </row>
    <row r="369" spans="1:26" x14ac:dyDescent="0.25">
      <c r="A369" s="4"/>
      <c r="B369" s="5"/>
      <c r="C369" s="5"/>
      <c r="D369" s="5"/>
      <c r="W369" s="8"/>
      <c r="X369" s="10"/>
      <c r="Y369" s="10"/>
      <c r="Z369" s="10"/>
    </row>
    <row r="370" spans="1:26" x14ac:dyDescent="0.25">
      <c r="A370" s="4"/>
      <c r="B370" s="5"/>
      <c r="C370" s="5"/>
      <c r="D370" s="5"/>
      <c r="W370" s="8"/>
      <c r="X370" s="10"/>
      <c r="Y370" s="10"/>
      <c r="Z370" s="10"/>
    </row>
    <row r="371" spans="1:26" x14ac:dyDescent="0.25">
      <c r="A371" s="4"/>
      <c r="B371" s="5"/>
      <c r="C371" s="5"/>
      <c r="D371" s="5"/>
      <c r="W371" s="8"/>
      <c r="X371" s="10"/>
      <c r="Y371" s="10"/>
      <c r="Z371" s="10"/>
    </row>
    <row r="372" spans="1:26" x14ac:dyDescent="0.25">
      <c r="A372" s="4"/>
      <c r="B372" s="5"/>
      <c r="C372" s="5"/>
      <c r="D372" s="5"/>
      <c r="W372" s="8"/>
      <c r="X372" s="10"/>
      <c r="Y372" s="10"/>
      <c r="Z372" s="10"/>
    </row>
    <row r="373" spans="1:26" x14ac:dyDescent="0.25">
      <c r="A373" s="4"/>
      <c r="B373" s="5"/>
      <c r="C373" s="5"/>
      <c r="D373" s="5"/>
      <c r="W373" s="8"/>
      <c r="X373" s="10"/>
      <c r="Y373" s="10"/>
      <c r="Z373" s="10"/>
    </row>
    <row r="374" spans="1:26" x14ac:dyDescent="0.25">
      <c r="A374" s="4"/>
      <c r="B374" s="5"/>
      <c r="C374" s="5"/>
      <c r="D374" s="5"/>
      <c r="W374" s="8"/>
      <c r="X374" s="10"/>
      <c r="Y374" s="10"/>
      <c r="Z374" s="10"/>
    </row>
    <row r="375" spans="1:26" x14ac:dyDescent="0.25">
      <c r="A375" s="4"/>
      <c r="B375" s="5"/>
      <c r="C375" s="5"/>
      <c r="D375" s="5"/>
      <c r="W375" s="8"/>
      <c r="X375" s="10"/>
      <c r="Y375" s="10"/>
      <c r="Z375" s="10"/>
    </row>
    <row r="376" spans="1:26" x14ac:dyDescent="0.25">
      <c r="A376" s="4"/>
      <c r="B376" s="5"/>
      <c r="C376" s="5"/>
      <c r="D376" s="5"/>
      <c r="W376" s="8"/>
      <c r="X376" s="10"/>
      <c r="Y376" s="10"/>
      <c r="Z376" s="10"/>
    </row>
    <row r="377" spans="1:26" x14ac:dyDescent="0.25">
      <c r="A377" s="4"/>
      <c r="B377" s="5"/>
      <c r="C377" s="5"/>
      <c r="D377" s="5"/>
      <c r="W377" s="8"/>
      <c r="X377" s="10"/>
      <c r="Y377" s="10"/>
      <c r="Z377" s="10"/>
    </row>
    <row r="378" spans="1:26" x14ac:dyDescent="0.25">
      <c r="A378" s="4"/>
      <c r="B378" s="5"/>
      <c r="C378" s="5"/>
      <c r="D378" s="5"/>
      <c r="W378" s="8"/>
      <c r="X378" s="10"/>
      <c r="Y378" s="10"/>
      <c r="Z378" s="10"/>
    </row>
    <row r="379" spans="1:26" x14ac:dyDescent="0.25">
      <c r="A379" s="4"/>
      <c r="B379" s="5"/>
      <c r="C379" s="5"/>
      <c r="D379" s="5"/>
      <c r="W379" s="8"/>
      <c r="X379" s="10"/>
      <c r="Y379" s="10"/>
      <c r="Z379" s="10"/>
    </row>
    <row r="380" spans="1:26" x14ac:dyDescent="0.25">
      <c r="A380" s="4"/>
      <c r="B380" s="5"/>
      <c r="C380" s="5"/>
      <c r="D380" s="5"/>
      <c r="W380" s="8"/>
      <c r="X380" s="10"/>
      <c r="Y380" s="10"/>
      <c r="Z380" s="10"/>
    </row>
    <row r="381" spans="1:26" x14ac:dyDescent="0.25">
      <c r="A381" s="4"/>
      <c r="B381" s="5"/>
      <c r="C381" s="5"/>
      <c r="D381" s="5"/>
      <c r="W381" s="8"/>
      <c r="X381" s="10"/>
      <c r="Y381" s="10"/>
      <c r="Z381" s="10"/>
    </row>
    <row r="382" spans="1:26" x14ac:dyDescent="0.25">
      <c r="A382" s="4"/>
      <c r="B382" s="5"/>
      <c r="C382" s="5"/>
      <c r="D382" s="5"/>
      <c r="W382" s="8"/>
      <c r="X382" s="10"/>
      <c r="Y382" s="10"/>
      <c r="Z382" s="10"/>
    </row>
    <row r="383" spans="1:26" x14ac:dyDescent="0.25">
      <c r="A383" s="4"/>
      <c r="B383" s="5"/>
      <c r="C383" s="5"/>
      <c r="D383" s="5"/>
      <c r="W383" s="8"/>
      <c r="X383" s="10"/>
      <c r="Y383" s="10"/>
      <c r="Z383" s="10"/>
    </row>
    <row r="384" spans="1:26" x14ac:dyDescent="0.25">
      <c r="A384" s="4"/>
      <c r="B384" s="5"/>
      <c r="C384" s="5"/>
      <c r="D384" s="5"/>
      <c r="W384" s="8"/>
      <c r="X384" s="10"/>
      <c r="Y384" s="10"/>
      <c r="Z384" s="10"/>
    </row>
    <row r="385" spans="1:26" x14ac:dyDescent="0.25">
      <c r="A385" s="4"/>
      <c r="B385" s="5"/>
      <c r="C385" s="5"/>
      <c r="D385" s="5"/>
      <c r="W385" s="8"/>
      <c r="X385" s="10"/>
      <c r="Y385" s="10"/>
      <c r="Z385" s="10"/>
    </row>
    <row r="386" spans="1:26" x14ac:dyDescent="0.25">
      <c r="A386" s="4"/>
      <c r="B386" s="5"/>
      <c r="C386" s="5"/>
      <c r="D386" s="5"/>
      <c r="W386" s="8"/>
      <c r="X386" s="10"/>
      <c r="Y386" s="10"/>
      <c r="Z386" s="10"/>
    </row>
    <row r="387" spans="1:26" x14ac:dyDescent="0.25">
      <c r="A387" s="4"/>
      <c r="B387" s="5"/>
      <c r="C387" s="5"/>
      <c r="D387" s="5"/>
      <c r="W387" s="8"/>
      <c r="X387" s="10"/>
      <c r="Y387" s="10"/>
      <c r="Z387" s="10"/>
    </row>
    <row r="388" spans="1:26" x14ac:dyDescent="0.25">
      <c r="A388" s="4"/>
      <c r="B388" s="5"/>
      <c r="C388" s="5"/>
      <c r="D388" s="5"/>
      <c r="W388" s="8"/>
      <c r="X388" s="10"/>
      <c r="Y388" s="10"/>
      <c r="Z388" s="10"/>
    </row>
    <row r="389" spans="1:26" x14ac:dyDescent="0.25">
      <c r="A389" s="4"/>
      <c r="B389" s="5"/>
      <c r="C389" s="5"/>
      <c r="D389" s="5"/>
      <c r="W389" s="8"/>
      <c r="X389" s="10"/>
      <c r="Y389" s="10"/>
      <c r="Z389" s="10"/>
    </row>
    <row r="390" spans="1:26" x14ac:dyDescent="0.25">
      <c r="A390" s="4"/>
      <c r="B390" s="5"/>
      <c r="C390" s="5"/>
      <c r="D390" s="5"/>
      <c r="W390" s="8"/>
      <c r="X390" s="10"/>
      <c r="Y390" s="10"/>
      <c r="Z390" s="10"/>
    </row>
    <row r="391" spans="1:26" x14ac:dyDescent="0.25">
      <c r="A391" s="4"/>
      <c r="B391" s="5"/>
      <c r="C391" s="5"/>
      <c r="D391" s="5"/>
      <c r="W391" s="8"/>
      <c r="X391" s="10"/>
      <c r="Y391" s="10"/>
      <c r="Z391" s="10"/>
    </row>
    <row r="392" spans="1:26" x14ac:dyDescent="0.25">
      <c r="A392" s="4"/>
      <c r="B392" s="5"/>
      <c r="C392" s="5"/>
      <c r="D392" s="5"/>
      <c r="W392" s="8"/>
      <c r="X392" s="10"/>
      <c r="Y392" s="10"/>
      <c r="Z392" s="10"/>
    </row>
    <row r="393" spans="1:26" x14ac:dyDescent="0.25">
      <c r="A393" s="4"/>
      <c r="B393" s="5"/>
      <c r="C393" s="5"/>
      <c r="D393" s="5"/>
      <c r="W393" s="8"/>
      <c r="X393" s="10"/>
      <c r="Y393" s="10"/>
      <c r="Z393" s="10"/>
    </row>
    <row r="394" spans="1:26" x14ac:dyDescent="0.25">
      <c r="A394" s="4"/>
      <c r="B394" s="5"/>
      <c r="C394" s="5"/>
      <c r="D394" s="5"/>
      <c r="W394" s="8"/>
      <c r="X394" s="10"/>
      <c r="Y394" s="10"/>
      <c r="Z394" s="10"/>
    </row>
    <row r="395" spans="1:26" x14ac:dyDescent="0.25">
      <c r="A395" s="4"/>
      <c r="B395" s="5"/>
      <c r="C395" s="5"/>
      <c r="D395" s="5"/>
      <c r="W395" s="8"/>
      <c r="X395" s="10"/>
      <c r="Y395" s="10"/>
      <c r="Z395" s="10"/>
    </row>
    <row r="396" spans="1:26" x14ac:dyDescent="0.25">
      <c r="A396" s="4"/>
      <c r="B396" s="5"/>
      <c r="C396" s="5"/>
      <c r="D396" s="5"/>
      <c r="W396" s="8"/>
      <c r="X396" s="10"/>
      <c r="Y396" s="10"/>
      <c r="Z396" s="10"/>
    </row>
    <row r="397" spans="1:26" x14ac:dyDescent="0.25">
      <c r="A397" s="4"/>
      <c r="B397" s="5"/>
      <c r="C397" s="5"/>
      <c r="D397" s="5"/>
      <c r="W397" s="8"/>
      <c r="X397" s="10"/>
      <c r="Y397" s="10"/>
      <c r="Z397" s="10"/>
    </row>
    <row r="398" spans="1:26" x14ac:dyDescent="0.25">
      <c r="A398" s="4"/>
      <c r="B398" s="5"/>
      <c r="C398" s="5"/>
      <c r="D398" s="5"/>
      <c r="W398" s="8"/>
      <c r="X398" s="10"/>
      <c r="Y398" s="10"/>
      <c r="Z398" s="10"/>
    </row>
    <row r="399" spans="1:26" x14ac:dyDescent="0.25">
      <c r="A399" s="4"/>
      <c r="B399" s="5"/>
      <c r="C399" s="5"/>
      <c r="D399" s="5"/>
      <c r="W399" s="8"/>
      <c r="X399" s="10"/>
      <c r="Y399" s="10"/>
      <c r="Z399" s="10"/>
    </row>
    <row r="400" spans="1:26" x14ac:dyDescent="0.25">
      <c r="A400" s="4"/>
      <c r="B400" s="5"/>
      <c r="C400" s="5"/>
      <c r="D400" s="5"/>
      <c r="W400" s="8"/>
      <c r="X400" s="10"/>
      <c r="Y400" s="10"/>
      <c r="Z400" s="10"/>
    </row>
    <row r="401" spans="1:26" x14ac:dyDescent="0.25">
      <c r="A401" s="4"/>
      <c r="B401" s="5"/>
      <c r="C401" s="5"/>
      <c r="D401" s="5"/>
      <c r="W401" s="8"/>
      <c r="X401" s="10"/>
      <c r="Y401" s="10"/>
      <c r="Z401" s="10"/>
    </row>
    <row r="402" spans="1:26" x14ac:dyDescent="0.25">
      <c r="A402" s="4"/>
      <c r="B402" s="5"/>
      <c r="C402" s="5"/>
      <c r="D402" s="5"/>
      <c r="W402" s="8"/>
      <c r="X402" s="10"/>
      <c r="Y402" s="10"/>
      <c r="Z402" s="10"/>
    </row>
    <row r="403" spans="1:26" x14ac:dyDescent="0.25">
      <c r="A403" s="4"/>
      <c r="B403" s="5"/>
      <c r="C403" s="5"/>
      <c r="D403" s="5"/>
      <c r="W403" s="8"/>
      <c r="X403" s="10"/>
      <c r="Y403" s="10"/>
      <c r="Z403" s="10"/>
    </row>
    <row r="404" spans="1:26" x14ac:dyDescent="0.25">
      <c r="A404" s="4"/>
      <c r="B404" s="5"/>
      <c r="C404" s="5"/>
      <c r="D404" s="5"/>
      <c r="W404" s="8"/>
      <c r="X404" s="10"/>
      <c r="Y404" s="10"/>
      <c r="Z404" s="10"/>
    </row>
    <row r="405" spans="1:26" x14ac:dyDescent="0.25">
      <c r="A405" s="4"/>
      <c r="B405" s="5"/>
      <c r="C405" s="5"/>
      <c r="D405" s="5"/>
      <c r="W405" s="8"/>
      <c r="X405" s="10"/>
      <c r="Y405" s="10"/>
      <c r="Z405" s="10"/>
    </row>
    <row r="406" spans="1:26" x14ac:dyDescent="0.25">
      <c r="A406" s="4"/>
      <c r="B406" s="5"/>
      <c r="C406" s="5"/>
      <c r="D406" s="5"/>
      <c r="W406" s="8"/>
      <c r="X406" s="10"/>
      <c r="Y406" s="10"/>
      <c r="Z406" s="10"/>
    </row>
    <row r="407" spans="1:26" x14ac:dyDescent="0.25">
      <c r="A407" s="4"/>
      <c r="B407" s="5"/>
      <c r="C407" s="5"/>
      <c r="D407" s="5"/>
      <c r="W407" s="8"/>
      <c r="X407" s="10"/>
      <c r="Y407" s="10"/>
      <c r="Z407" s="10"/>
    </row>
    <row r="408" spans="1:26" x14ac:dyDescent="0.25">
      <c r="A408" s="4"/>
      <c r="B408" s="5"/>
      <c r="C408" s="5"/>
      <c r="D408" s="5"/>
      <c r="W408" s="8"/>
      <c r="X408" s="10"/>
      <c r="Y408" s="10"/>
      <c r="Z408" s="10"/>
    </row>
    <row r="409" spans="1:26" x14ac:dyDescent="0.25">
      <c r="A409" s="4"/>
      <c r="B409" s="5"/>
      <c r="C409" s="5"/>
      <c r="D409" s="5"/>
      <c r="W409" s="8"/>
      <c r="X409" s="10"/>
      <c r="Y409" s="10"/>
      <c r="Z409" s="10"/>
    </row>
    <row r="410" spans="1:26" x14ac:dyDescent="0.25">
      <c r="A410" s="4"/>
      <c r="B410" s="5"/>
      <c r="C410" s="5"/>
      <c r="D410" s="5"/>
      <c r="W410" s="8"/>
      <c r="X410" s="10"/>
      <c r="Y410" s="10"/>
      <c r="Z410" s="10"/>
    </row>
    <row r="411" spans="1:26" x14ac:dyDescent="0.25">
      <c r="A411" s="4"/>
      <c r="B411" s="5"/>
      <c r="C411" s="5"/>
      <c r="D411" s="5"/>
      <c r="W411" s="8"/>
      <c r="X411" s="10"/>
      <c r="Y411" s="10"/>
      <c r="Z411" s="10"/>
    </row>
    <row r="412" spans="1:26" x14ac:dyDescent="0.25">
      <c r="A412" s="4"/>
      <c r="B412" s="5"/>
      <c r="C412" s="5"/>
      <c r="D412" s="5"/>
      <c r="W412" s="8"/>
      <c r="X412" s="10"/>
      <c r="Y412" s="10"/>
      <c r="Z412" s="10"/>
    </row>
    <row r="413" spans="1:26" x14ac:dyDescent="0.25">
      <c r="A413" s="4"/>
      <c r="B413" s="5"/>
      <c r="C413" s="5"/>
      <c r="D413" s="5"/>
      <c r="W413" s="8"/>
      <c r="X413" s="10"/>
      <c r="Y413" s="10"/>
      <c r="Z413" s="10"/>
    </row>
    <row r="414" spans="1:26" x14ac:dyDescent="0.25">
      <c r="A414" s="4"/>
      <c r="B414" s="5"/>
      <c r="C414" s="5"/>
      <c r="D414" s="5"/>
      <c r="W414" s="8"/>
      <c r="X414" s="10"/>
      <c r="Y414" s="10"/>
      <c r="Z414" s="10"/>
    </row>
    <row r="415" spans="1:26" x14ac:dyDescent="0.25">
      <c r="A415" s="4"/>
      <c r="B415" s="5"/>
      <c r="C415" s="5"/>
      <c r="D415" s="5"/>
      <c r="W415" s="8"/>
      <c r="X415" s="10"/>
      <c r="Y415" s="10"/>
      <c r="Z415" s="10"/>
    </row>
    <row r="416" spans="1:26" x14ac:dyDescent="0.25">
      <c r="A416" s="4"/>
      <c r="B416" s="5"/>
      <c r="C416" s="5"/>
      <c r="D416" s="5"/>
      <c r="W416" s="8"/>
      <c r="X416" s="10"/>
      <c r="Y416" s="10"/>
      <c r="Z416" s="10"/>
    </row>
    <row r="417" spans="1:26" x14ac:dyDescent="0.25">
      <c r="A417" s="4"/>
      <c r="B417" s="5"/>
      <c r="C417" s="5"/>
      <c r="D417" s="5"/>
      <c r="W417" s="8"/>
      <c r="X417" s="10"/>
      <c r="Y417" s="10"/>
      <c r="Z417" s="10"/>
    </row>
    <row r="418" spans="1:26" x14ac:dyDescent="0.25">
      <c r="A418" s="4"/>
      <c r="B418" s="5"/>
      <c r="C418" s="5"/>
      <c r="D418" s="5"/>
      <c r="W418" s="8"/>
      <c r="X418" s="10"/>
      <c r="Y418" s="10"/>
      <c r="Z418" s="10"/>
    </row>
    <row r="419" spans="1:26" x14ac:dyDescent="0.25">
      <c r="A419" s="4"/>
      <c r="B419" s="5"/>
      <c r="C419" s="5"/>
      <c r="D419" s="5"/>
      <c r="W419" s="8"/>
      <c r="X419" s="10"/>
      <c r="Y419" s="10"/>
      <c r="Z419" s="10"/>
    </row>
    <row r="420" spans="1:26" x14ac:dyDescent="0.25">
      <c r="A420" s="4"/>
      <c r="B420" s="5"/>
      <c r="C420" s="5"/>
      <c r="D420" s="5"/>
      <c r="W420" s="8"/>
      <c r="X420" s="10"/>
      <c r="Y420" s="10"/>
      <c r="Z420" s="10"/>
    </row>
    <row r="421" spans="1:26" x14ac:dyDescent="0.25">
      <c r="A421" s="4"/>
      <c r="B421" s="5"/>
      <c r="C421" s="5"/>
      <c r="D421" s="5"/>
      <c r="W421" s="8"/>
      <c r="X421" s="10"/>
      <c r="Y421" s="10"/>
      <c r="Z421" s="10"/>
    </row>
    <row r="422" spans="1:26" x14ac:dyDescent="0.25">
      <c r="A422" s="4"/>
      <c r="B422" s="5"/>
      <c r="C422" s="5"/>
      <c r="D422" s="5"/>
      <c r="W422" s="8"/>
      <c r="X422" s="10"/>
      <c r="Y422" s="10"/>
      <c r="Z422" s="10"/>
    </row>
    <row r="423" spans="1:26" x14ac:dyDescent="0.25">
      <c r="A423" s="4"/>
      <c r="B423" s="5"/>
      <c r="C423" s="5"/>
      <c r="D423" s="5"/>
      <c r="W423" s="8"/>
      <c r="X423" s="10"/>
      <c r="Y423" s="10"/>
      <c r="Z423" s="10"/>
    </row>
    <row r="424" spans="1:26" x14ac:dyDescent="0.25">
      <c r="A424" s="4"/>
      <c r="B424" s="5"/>
      <c r="C424" s="5"/>
      <c r="D424" s="5"/>
      <c r="W424" s="8"/>
      <c r="X424" s="10"/>
      <c r="Y424" s="10"/>
      <c r="Z424" s="10"/>
    </row>
    <row r="425" spans="1:26" x14ac:dyDescent="0.25">
      <c r="A425" s="4"/>
      <c r="B425" s="5"/>
      <c r="C425" s="5"/>
      <c r="D425" s="5"/>
      <c r="W425" s="8"/>
      <c r="X425" s="10"/>
      <c r="Y425" s="10"/>
      <c r="Z425" s="10"/>
    </row>
    <row r="426" spans="1:26" x14ac:dyDescent="0.25">
      <c r="A426" s="4"/>
      <c r="B426" s="5"/>
      <c r="C426" s="5"/>
      <c r="D426" s="5"/>
      <c r="W426" s="8"/>
      <c r="X426" s="10"/>
      <c r="Y426" s="10"/>
      <c r="Z426" s="10"/>
    </row>
    <row r="427" spans="1:26" x14ac:dyDescent="0.25">
      <c r="A427" s="4"/>
      <c r="B427" s="5"/>
      <c r="C427" s="5"/>
      <c r="D427" s="5"/>
      <c r="W427" s="8"/>
      <c r="X427" s="10"/>
      <c r="Y427" s="10"/>
      <c r="Z427" s="10"/>
    </row>
    <row r="428" spans="1:26" x14ac:dyDescent="0.25">
      <c r="A428" s="4"/>
      <c r="B428" s="5"/>
      <c r="C428" s="5"/>
      <c r="D428" s="5"/>
      <c r="W428" s="8"/>
      <c r="X428" s="10"/>
      <c r="Y428" s="10"/>
      <c r="Z428" s="10"/>
    </row>
    <row r="429" spans="1:26" x14ac:dyDescent="0.25">
      <c r="A429" s="4"/>
      <c r="B429" s="5"/>
      <c r="C429" s="5"/>
      <c r="D429" s="5"/>
      <c r="W429" s="8"/>
      <c r="X429" s="10"/>
      <c r="Y429" s="10"/>
      <c r="Z429" s="10"/>
    </row>
    <row r="430" spans="1:26" x14ac:dyDescent="0.25">
      <c r="A430" s="4"/>
      <c r="B430" s="5"/>
      <c r="C430" s="5"/>
      <c r="D430" s="5"/>
      <c r="W430" s="8"/>
      <c r="X430" s="10"/>
      <c r="Y430" s="10"/>
      <c r="Z430" s="10"/>
    </row>
    <row r="431" spans="1:26" x14ac:dyDescent="0.25">
      <c r="A431" s="4"/>
      <c r="B431" s="5"/>
      <c r="C431" s="5"/>
      <c r="D431" s="5"/>
      <c r="W431" s="8"/>
      <c r="X431" s="10"/>
      <c r="Y431" s="10"/>
      <c r="Z431" s="10"/>
    </row>
    <row r="432" spans="1:26" x14ac:dyDescent="0.25">
      <c r="A432" s="4"/>
      <c r="B432" s="5"/>
      <c r="C432" s="5"/>
      <c r="D432" s="5"/>
      <c r="W432" s="8"/>
      <c r="X432" s="10"/>
      <c r="Y432" s="10"/>
      <c r="Z432" s="10"/>
    </row>
    <row r="433" spans="1:26" x14ac:dyDescent="0.25">
      <c r="A433" s="4"/>
      <c r="B433" s="5"/>
      <c r="C433" s="5"/>
      <c r="D433" s="5"/>
      <c r="W433" s="8"/>
      <c r="X433" s="10"/>
      <c r="Y433" s="10"/>
      <c r="Z433" s="10"/>
    </row>
    <row r="434" spans="1:26" x14ac:dyDescent="0.25">
      <c r="A434" s="4"/>
      <c r="B434" s="5"/>
      <c r="C434" s="5"/>
      <c r="D434" s="5"/>
      <c r="W434" s="8"/>
      <c r="X434" s="10"/>
      <c r="Y434" s="10"/>
      <c r="Z434" s="10"/>
    </row>
    <row r="435" spans="1:26" x14ac:dyDescent="0.25">
      <c r="A435" s="4"/>
      <c r="B435" s="5"/>
      <c r="C435" s="5"/>
      <c r="D435" s="5"/>
      <c r="W435" s="8"/>
      <c r="X435" s="10"/>
      <c r="Y435" s="10"/>
      <c r="Z435" s="10"/>
    </row>
    <row r="436" spans="1:26" x14ac:dyDescent="0.25">
      <c r="A436" s="4"/>
      <c r="B436" s="5"/>
      <c r="C436" s="5"/>
      <c r="D436" s="5"/>
      <c r="W436" s="8"/>
      <c r="X436" s="10"/>
      <c r="Y436" s="10"/>
      <c r="Z436" s="10"/>
    </row>
    <row r="437" spans="1:26" x14ac:dyDescent="0.25">
      <c r="A437" s="4"/>
      <c r="B437" s="5"/>
      <c r="C437" s="5"/>
      <c r="D437" s="5"/>
      <c r="W437" s="8"/>
      <c r="X437" s="10"/>
      <c r="Y437" s="10"/>
      <c r="Z437" s="10"/>
    </row>
    <row r="438" spans="1:26" x14ac:dyDescent="0.25">
      <c r="A438" s="4"/>
      <c r="B438" s="5"/>
      <c r="C438" s="5"/>
      <c r="D438" s="5"/>
      <c r="W438" s="8"/>
      <c r="X438" s="10"/>
      <c r="Y438" s="10"/>
      <c r="Z438" s="10"/>
    </row>
    <row r="439" spans="1:26" x14ac:dyDescent="0.25">
      <c r="A439" s="4"/>
      <c r="B439" s="5"/>
      <c r="C439" s="5"/>
      <c r="D439" s="5"/>
      <c r="W439" s="8"/>
      <c r="X439" s="10"/>
      <c r="Y439" s="10"/>
      <c r="Z439" s="10"/>
    </row>
    <row r="440" spans="1:26" x14ac:dyDescent="0.25">
      <c r="A440" s="4"/>
      <c r="B440" s="5"/>
      <c r="C440" s="5"/>
      <c r="D440" s="5"/>
      <c r="W440" s="8"/>
      <c r="X440" s="10"/>
      <c r="Y440" s="10"/>
      <c r="Z440" s="10"/>
    </row>
    <row r="441" spans="1:26" x14ac:dyDescent="0.25">
      <c r="A441" s="4"/>
      <c r="B441" s="5"/>
      <c r="C441" s="5"/>
      <c r="D441" s="5"/>
      <c r="W441" s="8"/>
      <c r="X441" s="10"/>
      <c r="Y441" s="10"/>
      <c r="Z441" s="10"/>
    </row>
    <row r="442" spans="1:26" x14ac:dyDescent="0.25">
      <c r="A442" s="4"/>
      <c r="B442" s="5"/>
      <c r="C442" s="5"/>
      <c r="D442" s="5"/>
      <c r="W442" s="8"/>
      <c r="X442" s="10"/>
      <c r="Y442" s="10"/>
      <c r="Z442" s="10"/>
    </row>
    <row r="443" spans="1:26" x14ac:dyDescent="0.25">
      <c r="A443" s="4"/>
      <c r="B443" s="5"/>
      <c r="C443" s="5"/>
      <c r="D443" s="5"/>
      <c r="W443" s="8"/>
      <c r="X443" s="10"/>
      <c r="Y443" s="10"/>
      <c r="Z443" s="10"/>
    </row>
    <row r="444" spans="1:26" x14ac:dyDescent="0.25">
      <c r="A444" s="4"/>
      <c r="B444" s="5"/>
      <c r="C444" s="5"/>
      <c r="D444" s="5"/>
      <c r="W444" s="8"/>
      <c r="X444" s="10"/>
      <c r="Y444" s="10"/>
      <c r="Z444" s="10"/>
    </row>
    <row r="445" spans="1:26" x14ac:dyDescent="0.25">
      <c r="A445" s="4"/>
      <c r="B445" s="5"/>
      <c r="C445" s="5"/>
      <c r="D445" s="5"/>
      <c r="W445" s="8"/>
      <c r="X445" s="10"/>
      <c r="Y445" s="10"/>
      <c r="Z445" s="10"/>
    </row>
    <row r="446" spans="1:26" x14ac:dyDescent="0.25">
      <c r="A446" s="4"/>
      <c r="B446" s="5"/>
      <c r="C446" s="5"/>
      <c r="D446" s="5"/>
      <c r="W446" s="8"/>
      <c r="X446" s="10"/>
      <c r="Y446" s="10"/>
      <c r="Z446" s="10"/>
    </row>
    <row r="447" spans="1:26" x14ac:dyDescent="0.25">
      <c r="A447" s="4"/>
      <c r="B447" s="5"/>
      <c r="C447" s="5"/>
      <c r="D447" s="5"/>
      <c r="W447" s="8"/>
      <c r="X447" s="10"/>
      <c r="Y447" s="10"/>
      <c r="Z447" s="10"/>
    </row>
    <row r="448" spans="1:26" x14ac:dyDescent="0.25">
      <c r="A448" s="4"/>
      <c r="B448" s="5"/>
      <c r="C448" s="5"/>
      <c r="D448" s="5"/>
      <c r="W448" s="8"/>
      <c r="X448" s="10"/>
      <c r="Y448" s="10"/>
      <c r="Z448" s="10"/>
    </row>
    <row r="449" spans="1:26" x14ac:dyDescent="0.25">
      <c r="A449" s="4"/>
      <c r="B449" s="5"/>
      <c r="C449" s="5"/>
      <c r="D449" s="5"/>
      <c r="W449" s="8"/>
      <c r="X449" s="10"/>
      <c r="Y449" s="10"/>
      <c r="Z449" s="10"/>
    </row>
    <row r="450" spans="1:26" x14ac:dyDescent="0.25">
      <c r="A450" s="4"/>
      <c r="B450" s="5"/>
      <c r="C450" s="5"/>
      <c r="D450" s="5"/>
      <c r="W450" s="8"/>
      <c r="X450" s="10"/>
      <c r="Y450" s="10"/>
      <c r="Z450" s="10"/>
    </row>
    <row r="451" spans="1:26" x14ac:dyDescent="0.25">
      <c r="A451" s="4"/>
      <c r="B451" s="5"/>
      <c r="C451" s="5"/>
      <c r="D451" s="5"/>
      <c r="W451" s="8"/>
      <c r="X451" s="10"/>
      <c r="Y451" s="10"/>
      <c r="Z451" s="10"/>
    </row>
    <row r="452" spans="1:26" x14ac:dyDescent="0.25">
      <c r="A452" s="4"/>
      <c r="B452" s="5"/>
      <c r="C452" s="5"/>
      <c r="D452" s="5"/>
      <c r="W452" s="8"/>
      <c r="X452" s="10"/>
      <c r="Y452" s="10"/>
      <c r="Z452" s="10"/>
    </row>
    <row r="453" spans="1:26" x14ac:dyDescent="0.25">
      <c r="A453" s="4"/>
      <c r="B453" s="5"/>
      <c r="C453" s="5"/>
      <c r="D453" s="5"/>
      <c r="W453" s="8"/>
      <c r="X453" s="10"/>
      <c r="Y453" s="10"/>
      <c r="Z453" s="10"/>
    </row>
    <row r="454" spans="1:26" x14ac:dyDescent="0.25">
      <c r="A454" s="4"/>
      <c r="B454" s="5"/>
      <c r="C454" s="5"/>
      <c r="D454" s="5"/>
      <c r="W454" s="8"/>
      <c r="X454" s="10"/>
      <c r="Y454" s="10"/>
      <c r="Z454" s="10"/>
    </row>
    <row r="455" spans="1:26" x14ac:dyDescent="0.25">
      <c r="A455" s="4"/>
      <c r="B455" s="5"/>
      <c r="C455" s="5"/>
      <c r="D455" s="5"/>
      <c r="W455" s="8"/>
      <c r="X455" s="10"/>
      <c r="Y455" s="10"/>
      <c r="Z455" s="10"/>
    </row>
    <row r="456" spans="1:26" x14ac:dyDescent="0.25">
      <c r="A456" s="4"/>
      <c r="B456" s="5"/>
      <c r="C456" s="5"/>
      <c r="D456" s="5"/>
      <c r="W456" s="8"/>
      <c r="X456" s="10"/>
      <c r="Y456" s="10"/>
      <c r="Z456" s="10"/>
    </row>
    <row r="457" spans="1:26" x14ac:dyDescent="0.25">
      <c r="A457" s="4"/>
      <c r="B457" s="5"/>
      <c r="C457" s="5"/>
      <c r="D457" s="5"/>
      <c r="W457" s="8"/>
      <c r="X457" s="10"/>
      <c r="Y457" s="10"/>
      <c r="Z457" s="10"/>
    </row>
    <row r="458" spans="1:26" x14ac:dyDescent="0.25">
      <c r="A458" s="4"/>
      <c r="B458" s="5"/>
      <c r="C458" s="5"/>
      <c r="D458" s="5"/>
      <c r="W458" s="8"/>
      <c r="X458" s="10"/>
      <c r="Y458" s="10"/>
      <c r="Z458" s="10"/>
    </row>
    <row r="459" spans="1:26" x14ac:dyDescent="0.25">
      <c r="A459" s="4"/>
      <c r="B459" s="5"/>
      <c r="C459" s="5"/>
      <c r="D459" s="5"/>
      <c r="W459" s="8"/>
      <c r="X459" s="10"/>
      <c r="Y459" s="10"/>
      <c r="Z459" s="10"/>
    </row>
    <row r="460" spans="1:26" x14ac:dyDescent="0.25">
      <c r="A460" s="4"/>
      <c r="B460" s="5"/>
      <c r="C460" s="5"/>
      <c r="D460" s="5"/>
      <c r="W460" s="8"/>
      <c r="X460" s="10"/>
      <c r="Y460" s="10"/>
      <c r="Z460" s="10"/>
    </row>
    <row r="461" spans="1:26" x14ac:dyDescent="0.25">
      <c r="A461" s="4"/>
      <c r="B461" s="5"/>
      <c r="C461" s="5"/>
      <c r="D461" s="5"/>
      <c r="W461" s="8"/>
      <c r="X461" s="10"/>
      <c r="Y461" s="10"/>
      <c r="Z461" s="10"/>
    </row>
    <row r="462" spans="1:26" x14ac:dyDescent="0.25">
      <c r="A462" s="4"/>
      <c r="B462" s="5"/>
      <c r="C462" s="5"/>
      <c r="D462" s="5"/>
      <c r="W462" s="8"/>
      <c r="X462" s="10"/>
      <c r="Y462" s="10"/>
      <c r="Z462" s="10"/>
    </row>
    <row r="463" spans="1:26" x14ac:dyDescent="0.25">
      <c r="A463" s="4"/>
      <c r="B463" s="5"/>
      <c r="C463" s="5"/>
      <c r="D463" s="5"/>
      <c r="W463" s="8"/>
      <c r="X463" s="10"/>
      <c r="Y463" s="10"/>
      <c r="Z463" s="10"/>
    </row>
    <row r="464" spans="1:26" x14ac:dyDescent="0.25">
      <c r="A464" s="4"/>
      <c r="B464" s="5"/>
      <c r="C464" s="5"/>
      <c r="D464" s="5"/>
      <c r="W464" s="8"/>
      <c r="X464" s="10"/>
      <c r="Y464" s="10"/>
      <c r="Z464" s="10"/>
    </row>
    <row r="465" spans="1:26" x14ac:dyDescent="0.25">
      <c r="A465" s="4"/>
      <c r="B465" s="5"/>
      <c r="C465" s="5"/>
      <c r="D465" s="5"/>
      <c r="W465" s="8"/>
      <c r="X465" s="10"/>
      <c r="Y465" s="10"/>
      <c r="Z465" s="10"/>
    </row>
    <row r="466" spans="1:26" x14ac:dyDescent="0.25">
      <c r="A466" s="4"/>
      <c r="B466" s="5"/>
      <c r="C466" s="5"/>
      <c r="D466" s="5"/>
      <c r="W466" s="8"/>
      <c r="X466" s="10"/>
      <c r="Y466" s="10"/>
      <c r="Z466" s="10"/>
    </row>
    <row r="467" spans="1:26" x14ac:dyDescent="0.25">
      <c r="A467" s="4"/>
      <c r="B467" s="5"/>
      <c r="C467" s="5"/>
      <c r="D467" s="5"/>
      <c r="W467" s="8"/>
      <c r="X467" s="10"/>
      <c r="Y467" s="10"/>
      <c r="Z467" s="10"/>
    </row>
    <row r="468" spans="1:26" x14ac:dyDescent="0.25">
      <c r="A468" s="4"/>
      <c r="B468" s="5"/>
      <c r="C468" s="5"/>
      <c r="D468" s="5"/>
      <c r="W468" s="8"/>
      <c r="X468" s="10"/>
      <c r="Y468" s="10"/>
      <c r="Z468" s="10"/>
    </row>
    <row r="469" spans="1:26" x14ac:dyDescent="0.25">
      <c r="A469" s="4"/>
      <c r="B469" s="5"/>
      <c r="C469" s="5"/>
      <c r="D469" s="5"/>
      <c r="W469" s="8"/>
      <c r="X469" s="10"/>
      <c r="Y469" s="10"/>
      <c r="Z469" s="10"/>
    </row>
    <row r="470" spans="1:26" x14ac:dyDescent="0.25">
      <c r="A470" s="4"/>
      <c r="B470" s="5"/>
      <c r="C470" s="5"/>
      <c r="D470" s="5"/>
      <c r="W470" s="8"/>
      <c r="X470" s="10"/>
      <c r="Y470" s="10"/>
      <c r="Z470" s="10"/>
    </row>
    <row r="471" spans="1:26" x14ac:dyDescent="0.25">
      <c r="A471" s="4"/>
      <c r="B471" s="5"/>
      <c r="C471" s="5"/>
      <c r="D471" s="5"/>
      <c r="W471" s="8"/>
      <c r="X471" s="10"/>
      <c r="Y471" s="10"/>
      <c r="Z471" s="10"/>
    </row>
    <row r="472" spans="1:26" x14ac:dyDescent="0.25">
      <c r="A472" s="4"/>
      <c r="B472" s="5"/>
      <c r="C472" s="5"/>
      <c r="D472" s="5"/>
      <c r="W472" s="8"/>
      <c r="X472" s="10"/>
      <c r="Y472" s="10"/>
      <c r="Z472" s="10"/>
    </row>
    <row r="473" spans="1:26" x14ac:dyDescent="0.25">
      <c r="A473" s="4"/>
      <c r="B473" s="5"/>
      <c r="C473" s="5"/>
      <c r="D473" s="5"/>
      <c r="W473" s="8"/>
      <c r="X473" s="10"/>
      <c r="Y473" s="10"/>
      <c r="Z473" s="10"/>
    </row>
    <row r="474" spans="1:26" x14ac:dyDescent="0.25">
      <c r="A474" s="4"/>
      <c r="B474" s="5"/>
      <c r="C474" s="5"/>
      <c r="D474" s="5"/>
      <c r="W474" s="8"/>
      <c r="X474" s="10"/>
      <c r="Y474" s="10"/>
      <c r="Z474" s="10"/>
    </row>
    <row r="475" spans="1:26" x14ac:dyDescent="0.25">
      <c r="A475" s="4"/>
      <c r="B475" s="5"/>
      <c r="C475" s="5"/>
      <c r="D475" s="5"/>
      <c r="W475" s="8"/>
      <c r="X475" s="10"/>
      <c r="Y475" s="10"/>
      <c r="Z475" s="10"/>
    </row>
    <row r="476" spans="1:26" x14ac:dyDescent="0.25">
      <c r="A476" s="4"/>
      <c r="B476" s="5"/>
      <c r="C476" s="5"/>
      <c r="D476" s="5"/>
      <c r="W476" s="8"/>
      <c r="X476" s="10"/>
      <c r="Y476" s="10"/>
      <c r="Z476" s="10"/>
    </row>
    <row r="477" spans="1:26" x14ac:dyDescent="0.25">
      <c r="A477" s="4"/>
      <c r="B477" s="5"/>
      <c r="C477" s="5"/>
      <c r="D477" s="5"/>
      <c r="W477" s="8"/>
      <c r="X477" s="10"/>
      <c r="Y477" s="10"/>
      <c r="Z477" s="10"/>
    </row>
    <row r="478" spans="1:26" x14ac:dyDescent="0.25">
      <c r="A478" s="4"/>
      <c r="B478" s="5"/>
      <c r="C478" s="5"/>
      <c r="D478" s="5"/>
      <c r="W478" s="8"/>
      <c r="X478" s="10"/>
      <c r="Y478" s="10"/>
      <c r="Z478" s="10"/>
    </row>
    <row r="479" spans="1:26" x14ac:dyDescent="0.25">
      <c r="A479" s="4"/>
      <c r="B479" s="5"/>
      <c r="C479" s="5"/>
      <c r="D479" s="5"/>
      <c r="W479" s="8"/>
      <c r="X479" s="10"/>
      <c r="Y479" s="10"/>
      <c r="Z479" s="10"/>
    </row>
    <row r="480" spans="1:26" x14ac:dyDescent="0.25">
      <c r="A480" s="4"/>
      <c r="B480" s="5"/>
      <c r="C480" s="5"/>
      <c r="D480" s="5"/>
      <c r="W480" s="8"/>
      <c r="X480" s="10"/>
      <c r="Y480" s="10"/>
      <c r="Z480" s="10"/>
    </row>
    <row r="481" spans="1:26" x14ac:dyDescent="0.25">
      <c r="A481" s="4"/>
      <c r="B481" s="5"/>
      <c r="C481" s="5"/>
      <c r="D481" s="5"/>
      <c r="W481" s="8"/>
      <c r="X481" s="10"/>
      <c r="Y481" s="10"/>
      <c r="Z481" s="10"/>
    </row>
    <row r="482" spans="1:26" x14ac:dyDescent="0.25">
      <c r="A482" s="4"/>
      <c r="B482" s="5"/>
      <c r="C482" s="5"/>
      <c r="D482" s="5"/>
      <c r="W482" s="8"/>
      <c r="X482" s="10"/>
      <c r="Y482" s="10"/>
      <c r="Z482" s="10"/>
    </row>
    <row r="483" spans="1:26" x14ac:dyDescent="0.25">
      <c r="A483" s="4"/>
      <c r="B483" s="5"/>
      <c r="C483" s="5"/>
      <c r="D483" s="5"/>
      <c r="W483" s="8"/>
      <c r="X483" s="10"/>
      <c r="Y483" s="10"/>
      <c r="Z483" s="10"/>
    </row>
    <row r="484" spans="1:26" x14ac:dyDescent="0.25">
      <c r="A484" s="4"/>
      <c r="B484" s="5"/>
      <c r="C484" s="5"/>
      <c r="D484" s="5"/>
      <c r="W484" s="8"/>
      <c r="X484" s="10"/>
      <c r="Y484" s="10"/>
      <c r="Z484" s="10"/>
    </row>
    <row r="485" spans="1:26" x14ac:dyDescent="0.25">
      <c r="A485" s="4"/>
      <c r="B485" s="5"/>
      <c r="C485" s="5"/>
      <c r="D485" s="5"/>
      <c r="W485" s="8"/>
      <c r="X485" s="10"/>
      <c r="Y485" s="10"/>
      <c r="Z485" s="10"/>
    </row>
    <row r="486" spans="1:26" x14ac:dyDescent="0.25">
      <c r="A486" s="4"/>
      <c r="B486" s="5"/>
      <c r="C486" s="5"/>
      <c r="D486" s="5"/>
      <c r="W486" s="8"/>
      <c r="X486" s="10"/>
      <c r="Y486" s="10"/>
      <c r="Z486" s="10"/>
    </row>
    <row r="487" spans="1:26" x14ac:dyDescent="0.25">
      <c r="A487" s="4"/>
      <c r="B487" s="5"/>
      <c r="C487" s="5"/>
      <c r="D487" s="5"/>
      <c r="W487" s="8"/>
      <c r="X487" s="10"/>
      <c r="Y487" s="10"/>
      <c r="Z487" s="10"/>
    </row>
    <row r="488" spans="1:26" x14ac:dyDescent="0.25">
      <c r="A488" s="4"/>
      <c r="B488" s="5"/>
      <c r="C488" s="5"/>
      <c r="D488" s="5"/>
      <c r="W488" s="8"/>
      <c r="X488" s="10"/>
      <c r="Y488" s="10"/>
      <c r="Z488" s="10"/>
    </row>
    <row r="489" spans="1:26" x14ac:dyDescent="0.25">
      <c r="A489" s="4"/>
      <c r="B489" s="5"/>
      <c r="C489" s="5"/>
      <c r="D489" s="5"/>
      <c r="W489" s="8"/>
      <c r="X489" s="10"/>
      <c r="Y489" s="10"/>
      <c r="Z489" s="10"/>
    </row>
    <row r="490" spans="1:26" x14ac:dyDescent="0.25">
      <c r="A490" s="4"/>
      <c r="B490" s="5"/>
      <c r="C490" s="5"/>
      <c r="D490" s="5"/>
      <c r="W490" s="8"/>
      <c r="X490" s="10"/>
      <c r="Y490" s="10"/>
      <c r="Z490" s="10"/>
    </row>
    <row r="491" spans="1:26" x14ac:dyDescent="0.25">
      <c r="A491" s="4"/>
      <c r="B491" s="5"/>
      <c r="C491" s="5"/>
      <c r="D491" s="5"/>
      <c r="W491" s="8"/>
      <c r="X491" s="10"/>
      <c r="Y491" s="10"/>
      <c r="Z491" s="10"/>
    </row>
    <row r="492" spans="1:26" x14ac:dyDescent="0.25">
      <c r="A492" s="4"/>
      <c r="B492" s="5"/>
      <c r="C492" s="5"/>
      <c r="D492" s="5"/>
      <c r="W492" s="8"/>
      <c r="X492" s="10"/>
      <c r="Y492" s="10"/>
      <c r="Z492" s="10"/>
    </row>
    <row r="493" spans="1:26" x14ac:dyDescent="0.25">
      <c r="A493" s="4"/>
      <c r="B493" s="5"/>
      <c r="C493" s="5"/>
      <c r="D493" s="5"/>
      <c r="W493" s="8"/>
      <c r="X493" s="10"/>
      <c r="Y493" s="10"/>
      <c r="Z493" s="10"/>
    </row>
    <row r="494" spans="1:26" x14ac:dyDescent="0.25">
      <c r="A494" s="4"/>
      <c r="B494" s="5"/>
      <c r="C494" s="5"/>
      <c r="D494" s="5"/>
      <c r="W494" s="8"/>
      <c r="X494" s="10"/>
      <c r="Y494" s="10"/>
      <c r="Z494" s="10"/>
    </row>
    <row r="495" spans="1:26" x14ac:dyDescent="0.25">
      <c r="A495" s="4"/>
      <c r="B495" s="5"/>
      <c r="C495" s="5"/>
      <c r="D495" s="5"/>
      <c r="W495" s="8"/>
      <c r="X495" s="10"/>
      <c r="Y495" s="10"/>
      <c r="Z495" s="10"/>
    </row>
    <row r="496" spans="1:26" x14ac:dyDescent="0.25">
      <c r="A496" s="4"/>
      <c r="B496" s="5"/>
      <c r="C496" s="5"/>
      <c r="D496" s="5"/>
      <c r="W496" s="8"/>
      <c r="X496" s="10"/>
      <c r="Y496" s="10"/>
      <c r="Z496" s="10"/>
    </row>
    <row r="497" spans="1:26" x14ac:dyDescent="0.25">
      <c r="A497" s="4"/>
      <c r="B497" s="5"/>
      <c r="C497" s="5"/>
      <c r="D497" s="5"/>
      <c r="W497" s="8"/>
      <c r="X497" s="10"/>
      <c r="Y497" s="10"/>
      <c r="Z497" s="10"/>
    </row>
    <row r="498" spans="1:26" x14ac:dyDescent="0.25">
      <c r="A498" s="4"/>
      <c r="B498" s="5"/>
      <c r="C498" s="5"/>
      <c r="D498" s="5"/>
      <c r="W498" s="8"/>
      <c r="X498" s="10"/>
      <c r="Y498" s="10"/>
      <c r="Z498" s="10"/>
    </row>
    <row r="499" spans="1:26" x14ac:dyDescent="0.25">
      <c r="A499" s="4"/>
      <c r="B499" s="5"/>
      <c r="C499" s="5"/>
      <c r="D499" s="5"/>
      <c r="W499" s="8"/>
      <c r="X499" s="10"/>
      <c r="Y499" s="10"/>
      <c r="Z499" s="10"/>
    </row>
    <row r="500" spans="1:26" x14ac:dyDescent="0.25">
      <c r="A500" s="4"/>
      <c r="B500" s="5"/>
      <c r="C500" s="5"/>
      <c r="D500" s="5"/>
      <c r="W500" s="8"/>
      <c r="X500" s="10"/>
      <c r="Y500" s="10"/>
      <c r="Z500" s="10"/>
    </row>
    <row r="501" spans="1:26" x14ac:dyDescent="0.25">
      <c r="A501" s="4"/>
      <c r="B501" s="5"/>
      <c r="C501" s="5"/>
      <c r="D501" s="5"/>
      <c r="W501" s="8"/>
      <c r="X501" s="10"/>
      <c r="Y501" s="10"/>
      <c r="Z501" s="10"/>
    </row>
    <row r="502" spans="1:26" x14ac:dyDescent="0.25">
      <c r="A502" s="4"/>
      <c r="B502" s="5"/>
      <c r="C502" s="5"/>
      <c r="D502" s="5"/>
      <c r="W502" s="8"/>
      <c r="X502" s="10"/>
      <c r="Y502" s="10"/>
      <c r="Z502" s="10"/>
    </row>
    <row r="503" spans="1:26" x14ac:dyDescent="0.25">
      <c r="A503" s="4"/>
      <c r="B503" s="5"/>
      <c r="C503" s="5"/>
      <c r="D503" s="5"/>
      <c r="W503" s="8"/>
      <c r="X503" s="10"/>
      <c r="Y503" s="10"/>
      <c r="Z503" s="10"/>
    </row>
    <row r="504" spans="1:26" x14ac:dyDescent="0.25">
      <c r="A504" s="4"/>
      <c r="B504" s="5"/>
      <c r="C504" s="5"/>
      <c r="D504" s="5"/>
      <c r="W504" s="8"/>
      <c r="X504" s="10"/>
      <c r="Y504" s="10"/>
      <c r="Z504" s="10"/>
    </row>
    <row r="505" spans="1:26" x14ac:dyDescent="0.25">
      <c r="A505" s="4"/>
      <c r="B505" s="5"/>
      <c r="C505" s="5"/>
      <c r="D505" s="5"/>
      <c r="W505" s="8"/>
      <c r="X505" s="10"/>
      <c r="Y505" s="10"/>
      <c r="Z505" s="10"/>
    </row>
    <row r="506" spans="1:26" x14ac:dyDescent="0.25">
      <c r="A506" s="4"/>
      <c r="B506" s="5"/>
      <c r="C506" s="5"/>
      <c r="D506" s="5"/>
      <c r="W506" s="8"/>
      <c r="X506" s="10"/>
      <c r="Y506" s="10"/>
      <c r="Z506" s="10"/>
    </row>
    <row r="507" spans="1:26" x14ac:dyDescent="0.25">
      <c r="A507" s="4"/>
      <c r="B507" s="5"/>
      <c r="C507" s="5"/>
      <c r="D507" s="5"/>
      <c r="W507" s="8"/>
      <c r="X507" s="10"/>
      <c r="Y507" s="10"/>
      <c r="Z507" s="10"/>
    </row>
    <row r="508" spans="1:26" x14ac:dyDescent="0.25">
      <c r="A508" s="4"/>
      <c r="B508" s="5"/>
      <c r="C508" s="5"/>
      <c r="D508" s="5"/>
      <c r="W508" s="8"/>
      <c r="X508" s="10"/>
      <c r="Y508" s="10"/>
      <c r="Z508" s="10"/>
    </row>
    <row r="509" spans="1:26" x14ac:dyDescent="0.25">
      <c r="A509" s="4"/>
      <c r="B509" s="5"/>
      <c r="C509" s="5"/>
      <c r="D509" s="5"/>
      <c r="W509" s="8"/>
      <c r="X509" s="10"/>
      <c r="Y509" s="10"/>
      <c r="Z509" s="10"/>
    </row>
    <row r="510" spans="1:26" x14ac:dyDescent="0.25">
      <c r="A510" s="4"/>
      <c r="B510" s="5"/>
      <c r="C510" s="5"/>
      <c r="D510" s="5"/>
      <c r="W510" s="8"/>
      <c r="X510" s="10"/>
      <c r="Y510" s="10"/>
      <c r="Z510" s="10"/>
    </row>
    <row r="511" spans="1:26" x14ac:dyDescent="0.25">
      <c r="A511" s="4"/>
      <c r="B511" s="5"/>
      <c r="C511" s="5"/>
      <c r="D511" s="5"/>
      <c r="W511" s="8"/>
      <c r="X511" s="10"/>
      <c r="Y511" s="10"/>
      <c r="Z511" s="10"/>
    </row>
    <row r="512" spans="1:26" x14ac:dyDescent="0.25">
      <c r="A512" s="4"/>
      <c r="B512" s="5"/>
      <c r="C512" s="5"/>
      <c r="D512" s="5"/>
      <c r="W512" s="8"/>
      <c r="X512" s="10"/>
      <c r="Y512" s="10"/>
      <c r="Z512" s="10"/>
    </row>
    <row r="513" spans="1:26" x14ac:dyDescent="0.25">
      <c r="A513" s="4"/>
      <c r="B513" s="5"/>
      <c r="C513" s="5"/>
      <c r="D513" s="5"/>
      <c r="W513" s="8"/>
      <c r="X513" s="10"/>
      <c r="Y513" s="10"/>
      <c r="Z513" s="10"/>
    </row>
    <row r="514" spans="1:26" x14ac:dyDescent="0.25">
      <c r="A514" s="4"/>
      <c r="B514" s="5"/>
      <c r="C514" s="5"/>
      <c r="D514" s="5"/>
      <c r="W514" s="8"/>
      <c r="X514" s="10"/>
      <c r="Y514" s="10"/>
      <c r="Z514" s="10"/>
    </row>
    <row r="515" spans="1:26" x14ac:dyDescent="0.25">
      <c r="A515" s="4"/>
      <c r="B515" s="5"/>
      <c r="C515" s="5"/>
      <c r="D515" s="5"/>
      <c r="W515" s="8"/>
      <c r="X515" s="10"/>
      <c r="Y515" s="10"/>
      <c r="Z515" s="10"/>
    </row>
    <row r="516" spans="1:26" x14ac:dyDescent="0.25">
      <c r="A516" s="4"/>
      <c r="B516" s="5"/>
      <c r="C516" s="5"/>
      <c r="D516" s="5"/>
      <c r="W516" s="8"/>
      <c r="X516" s="10"/>
      <c r="Y516" s="10"/>
      <c r="Z516" s="10"/>
    </row>
    <row r="517" spans="1:26" x14ac:dyDescent="0.25">
      <c r="A517" s="4"/>
      <c r="B517" s="5"/>
      <c r="C517" s="5"/>
      <c r="D517" s="5"/>
      <c r="W517" s="8"/>
      <c r="X517" s="10"/>
      <c r="Y517" s="10"/>
      <c r="Z517" s="10"/>
    </row>
    <row r="518" spans="1:26" x14ac:dyDescent="0.25">
      <c r="A518" s="4"/>
      <c r="B518" s="5"/>
      <c r="C518" s="5"/>
      <c r="D518" s="5"/>
      <c r="W518" s="8"/>
      <c r="X518" s="10"/>
      <c r="Y518" s="10"/>
      <c r="Z518" s="10"/>
    </row>
    <row r="519" spans="1:26" x14ac:dyDescent="0.25">
      <c r="A519" s="4"/>
      <c r="B519" s="5"/>
      <c r="C519" s="5"/>
      <c r="D519" s="5"/>
      <c r="W519" s="8"/>
      <c r="X519" s="10"/>
      <c r="Y519" s="10"/>
      <c r="Z519" s="10"/>
    </row>
    <row r="520" spans="1:26" x14ac:dyDescent="0.25">
      <c r="A520" s="4"/>
      <c r="B520" s="5"/>
      <c r="C520" s="5"/>
      <c r="D520" s="5"/>
      <c r="W520" s="8"/>
      <c r="X520" s="10"/>
      <c r="Y520" s="10"/>
      <c r="Z520" s="10"/>
    </row>
    <row r="521" spans="1:26" x14ac:dyDescent="0.25">
      <c r="A521" s="4"/>
      <c r="B521" s="5"/>
      <c r="C521" s="5"/>
      <c r="D521" s="5"/>
      <c r="W521" s="8"/>
      <c r="X521" s="10"/>
      <c r="Y521" s="10"/>
      <c r="Z521" s="10"/>
    </row>
    <row r="522" spans="1:26" x14ac:dyDescent="0.25">
      <c r="A522" s="4"/>
      <c r="B522" s="5"/>
      <c r="C522" s="5"/>
      <c r="D522" s="5"/>
      <c r="W522" s="8"/>
      <c r="X522" s="10"/>
      <c r="Y522" s="10"/>
      <c r="Z522" s="10"/>
    </row>
    <row r="523" spans="1:26" x14ac:dyDescent="0.25">
      <c r="A523" s="4"/>
      <c r="B523" s="5"/>
      <c r="C523" s="5"/>
      <c r="D523" s="5"/>
      <c r="W523" s="8"/>
      <c r="X523" s="10"/>
      <c r="Y523" s="10"/>
      <c r="Z523" s="10"/>
    </row>
    <row r="524" spans="1:26" x14ac:dyDescent="0.25">
      <c r="A524" s="4"/>
      <c r="B524" s="5"/>
      <c r="C524" s="5"/>
      <c r="D524" s="5"/>
      <c r="W524" s="8"/>
      <c r="X524" s="10"/>
      <c r="Y524" s="10"/>
      <c r="Z524" s="10"/>
    </row>
    <row r="525" spans="1:26" x14ac:dyDescent="0.25">
      <c r="A525" s="4"/>
      <c r="B525" s="5"/>
      <c r="C525" s="5"/>
      <c r="D525" s="5"/>
      <c r="W525" s="8"/>
      <c r="X525" s="10"/>
      <c r="Y525" s="10"/>
      <c r="Z525" s="10"/>
    </row>
    <row r="526" spans="1:26" x14ac:dyDescent="0.25">
      <c r="A526" s="4"/>
      <c r="B526" s="5"/>
      <c r="C526" s="5"/>
      <c r="D526" s="5"/>
      <c r="W526" s="8"/>
      <c r="X526" s="10"/>
      <c r="Y526" s="10"/>
      <c r="Z526" s="10"/>
    </row>
    <row r="527" spans="1:26" x14ac:dyDescent="0.25">
      <c r="A527" s="4"/>
      <c r="B527" s="5"/>
      <c r="C527" s="5"/>
      <c r="D527" s="5"/>
      <c r="W527" s="8"/>
      <c r="X527" s="10"/>
      <c r="Y527" s="10"/>
      <c r="Z527" s="10"/>
    </row>
    <row r="528" spans="1:26" x14ac:dyDescent="0.25">
      <c r="A528" s="4"/>
      <c r="B528" s="5"/>
      <c r="C528" s="5"/>
      <c r="D528" s="5"/>
      <c r="W528" s="8"/>
      <c r="X528" s="10"/>
      <c r="Y528" s="10"/>
      <c r="Z528" s="10"/>
    </row>
    <row r="529" spans="1:26" x14ac:dyDescent="0.25">
      <c r="A529" s="4"/>
      <c r="B529" s="5"/>
      <c r="C529" s="5"/>
      <c r="D529" s="5"/>
      <c r="W529" s="8"/>
      <c r="X529" s="10"/>
      <c r="Y529" s="10"/>
      <c r="Z529" s="10"/>
    </row>
    <row r="530" spans="1:26" x14ac:dyDescent="0.25">
      <c r="A530" s="4"/>
      <c r="B530" s="5"/>
      <c r="C530" s="5"/>
      <c r="D530" s="5"/>
      <c r="W530" s="8"/>
      <c r="X530" s="10"/>
      <c r="Y530" s="10"/>
      <c r="Z530" s="10"/>
    </row>
    <row r="531" spans="1:26" x14ac:dyDescent="0.25">
      <c r="A531" s="4"/>
      <c r="B531" s="5"/>
      <c r="C531" s="5"/>
      <c r="D531" s="5"/>
      <c r="W531" s="8"/>
      <c r="X531" s="10"/>
      <c r="Y531" s="10"/>
      <c r="Z531" s="10"/>
    </row>
    <row r="532" spans="1:26" x14ac:dyDescent="0.25">
      <c r="A532" s="4"/>
      <c r="B532" s="5"/>
      <c r="C532" s="5"/>
      <c r="D532" s="5"/>
      <c r="W532" s="8"/>
      <c r="X532" s="10"/>
      <c r="Y532" s="10"/>
      <c r="Z532" s="10"/>
    </row>
    <row r="533" spans="1:26" x14ac:dyDescent="0.25">
      <c r="A533" s="4"/>
      <c r="B533" s="5"/>
      <c r="C533" s="5"/>
      <c r="D533" s="5"/>
      <c r="W533" s="8"/>
      <c r="X533" s="10"/>
      <c r="Y533" s="10"/>
      <c r="Z533" s="10"/>
    </row>
    <row r="534" spans="1:26" x14ac:dyDescent="0.25">
      <c r="A534" s="4"/>
      <c r="B534" s="5"/>
      <c r="C534" s="5"/>
      <c r="D534" s="5"/>
      <c r="W534" s="8"/>
      <c r="X534" s="10"/>
      <c r="Y534" s="10"/>
      <c r="Z534" s="10"/>
    </row>
    <row r="535" spans="1:26" x14ac:dyDescent="0.25">
      <c r="A535" s="4"/>
      <c r="B535" s="5"/>
      <c r="C535" s="5"/>
      <c r="D535" s="5"/>
      <c r="W535" s="8"/>
      <c r="X535" s="10"/>
      <c r="Y535" s="10"/>
      <c r="Z535" s="10"/>
    </row>
    <row r="536" spans="1:26" x14ac:dyDescent="0.25">
      <c r="A536" s="4"/>
      <c r="B536" s="5"/>
      <c r="C536" s="5"/>
      <c r="D536" s="5"/>
      <c r="W536" s="8"/>
      <c r="X536" s="10"/>
      <c r="Y536" s="10"/>
      <c r="Z536" s="10"/>
    </row>
    <row r="537" spans="1:26" x14ac:dyDescent="0.25">
      <c r="A537" s="4"/>
      <c r="B537" s="5"/>
      <c r="C537" s="5"/>
      <c r="D537" s="5"/>
      <c r="W537" s="8"/>
      <c r="X537" s="10"/>
      <c r="Y537" s="10"/>
      <c r="Z537" s="10"/>
    </row>
    <row r="538" spans="1:26" x14ac:dyDescent="0.25">
      <c r="A538" s="4"/>
      <c r="B538" s="5"/>
      <c r="C538" s="5"/>
      <c r="D538" s="5"/>
      <c r="W538" s="8"/>
      <c r="X538" s="10"/>
      <c r="Y538" s="10"/>
      <c r="Z538" s="10"/>
    </row>
    <row r="539" spans="1:26" x14ac:dyDescent="0.25">
      <c r="A539" s="4"/>
      <c r="B539" s="5"/>
      <c r="C539" s="5"/>
      <c r="D539" s="5"/>
      <c r="W539" s="8"/>
      <c r="X539" s="10"/>
      <c r="Y539" s="10"/>
      <c r="Z539" s="10"/>
    </row>
    <row r="540" spans="1:26" x14ac:dyDescent="0.25">
      <c r="A540" s="4"/>
      <c r="B540" s="5"/>
      <c r="C540" s="5"/>
      <c r="D540" s="5"/>
      <c r="W540" s="8"/>
      <c r="X540" s="10"/>
      <c r="Y540" s="10"/>
      <c r="Z540" s="10"/>
    </row>
    <row r="541" spans="1:26" x14ac:dyDescent="0.25">
      <c r="A541" s="4"/>
      <c r="B541" s="5"/>
      <c r="C541" s="5"/>
      <c r="D541" s="5"/>
      <c r="W541" s="8"/>
      <c r="X541" s="10"/>
      <c r="Y541" s="10"/>
      <c r="Z541" s="10"/>
    </row>
    <row r="542" spans="1:26" x14ac:dyDescent="0.25">
      <c r="A542" s="4"/>
      <c r="B542" s="5"/>
      <c r="C542" s="5"/>
      <c r="D542" s="5"/>
      <c r="W542" s="8"/>
      <c r="X542" s="10"/>
      <c r="Y542" s="10"/>
      <c r="Z542" s="10"/>
    </row>
    <row r="543" spans="1:26" x14ac:dyDescent="0.25">
      <c r="A543" s="4"/>
      <c r="B543" s="5"/>
      <c r="C543" s="5"/>
      <c r="D543" s="5"/>
      <c r="W543" s="8"/>
      <c r="X543" s="10"/>
      <c r="Y543" s="10"/>
      <c r="Z543" s="10"/>
    </row>
    <row r="544" spans="1:26" x14ac:dyDescent="0.25">
      <c r="A544" s="4"/>
      <c r="B544" s="5"/>
      <c r="C544" s="5"/>
      <c r="D544" s="5"/>
      <c r="W544" s="8"/>
      <c r="X544" s="10"/>
      <c r="Y544" s="10"/>
      <c r="Z544" s="10"/>
    </row>
    <row r="545" spans="1:26" x14ac:dyDescent="0.25">
      <c r="A545" s="4"/>
      <c r="B545" s="5"/>
      <c r="C545" s="5"/>
      <c r="D545" s="5"/>
      <c r="W545" s="8"/>
      <c r="X545" s="10"/>
      <c r="Y545" s="10"/>
      <c r="Z545" s="10"/>
    </row>
    <row r="546" spans="1:26" x14ac:dyDescent="0.25">
      <c r="A546" s="4"/>
      <c r="B546" s="5"/>
      <c r="C546" s="5"/>
      <c r="D546" s="5"/>
      <c r="W546" s="8"/>
      <c r="X546" s="10"/>
      <c r="Y546" s="10"/>
      <c r="Z546" s="10"/>
    </row>
    <row r="547" spans="1:26" x14ac:dyDescent="0.25">
      <c r="A547" s="4"/>
      <c r="B547" s="5"/>
      <c r="C547" s="5"/>
      <c r="D547" s="5"/>
      <c r="W547" s="8"/>
      <c r="X547" s="10"/>
      <c r="Y547" s="10"/>
      <c r="Z547" s="10"/>
    </row>
    <row r="548" spans="1:26" x14ac:dyDescent="0.25">
      <c r="A548" s="4"/>
      <c r="B548" s="5"/>
      <c r="C548" s="5"/>
      <c r="D548" s="5"/>
      <c r="W548" s="8"/>
      <c r="X548" s="10"/>
      <c r="Y548" s="10"/>
      <c r="Z548" s="10"/>
    </row>
    <row r="549" spans="1:26" x14ac:dyDescent="0.25">
      <c r="A549" s="4"/>
      <c r="B549" s="5"/>
      <c r="C549" s="5"/>
      <c r="D549" s="5"/>
      <c r="W549" s="8"/>
      <c r="X549" s="10"/>
      <c r="Y549" s="10"/>
      <c r="Z549" s="10"/>
    </row>
    <row r="550" spans="1:26" x14ac:dyDescent="0.25">
      <c r="A550" s="4"/>
      <c r="B550" s="5"/>
      <c r="C550" s="5"/>
      <c r="D550" s="5"/>
      <c r="W550" s="8"/>
      <c r="X550" s="10"/>
      <c r="Y550" s="10"/>
      <c r="Z550" s="10"/>
    </row>
    <row r="551" spans="1:26" x14ac:dyDescent="0.25">
      <c r="A551" s="4"/>
      <c r="B551" s="5"/>
      <c r="C551" s="5"/>
      <c r="D551" s="5"/>
      <c r="W551" s="8"/>
      <c r="X551" s="10"/>
      <c r="Y551" s="10"/>
      <c r="Z551" s="10"/>
    </row>
    <row r="552" spans="1:26" x14ac:dyDescent="0.25">
      <c r="A552" s="4"/>
      <c r="B552" s="5"/>
      <c r="C552" s="5"/>
      <c r="D552" s="5"/>
      <c r="W552" s="8"/>
      <c r="X552" s="10"/>
      <c r="Y552" s="10"/>
      <c r="Z552" s="10"/>
    </row>
    <row r="553" spans="1:26" x14ac:dyDescent="0.25">
      <c r="A553" s="4"/>
      <c r="B553" s="5"/>
      <c r="C553" s="5"/>
      <c r="D553" s="5"/>
      <c r="W553" s="8"/>
      <c r="X553" s="10"/>
      <c r="Y553" s="10"/>
      <c r="Z553" s="10"/>
    </row>
    <row r="554" spans="1:26" x14ac:dyDescent="0.25">
      <c r="A554" s="4"/>
      <c r="B554" s="5"/>
      <c r="C554" s="5"/>
      <c r="D554" s="5"/>
      <c r="W554" s="8"/>
      <c r="X554" s="10"/>
      <c r="Y554" s="10"/>
      <c r="Z554" s="10"/>
    </row>
    <row r="555" spans="1:26" x14ac:dyDescent="0.25">
      <c r="A555" s="4"/>
      <c r="B555" s="5"/>
      <c r="C555" s="5"/>
      <c r="D555" s="5"/>
      <c r="W555" s="8"/>
      <c r="X555" s="10"/>
      <c r="Y555" s="10"/>
      <c r="Z555" s="10"/>
    </row>
    <row r="556" spans="1:26" x14ac:dyDescent="0.25">
      <c r="A556" s="4"/>
      <c r="B556" s="5"/>
      <c r="C556" s="5"/>
      <c r="D556" s="5"/>
      <c r="W556" s="8"/>
      <c r="X556" s="10"/>
      <c r="Y556" s="10"/>
      <c r="Z556" s="10"/>
    </row>
    <row r="557" spans="1:26" x14ac:dyDescent="0.25">
      <c r="A557" s="4"/>
      <c r="B557" s="5"/>
      <c r="C557" s="5"/>
      <c r="D557" s="5"/>
      <c r="W557" s="8"/>
      <c r="X557" s="10"/>
      <c r="Y557" s="10"/>
      <c r="Z557" s="10"/>
    </row>
    <row r="558" spans="1:26" x14ac:dyDescent="0.25">
      <c r="A558" s="4"/>
      <c r="B558" s="5"/>
      <c r="C558" s="5"/>
      <c r="D558" s="5"/>
      <c r="W558" s="8"/>
      <c r="X558" s="10"/>
      <c r="Y558" s="10"/>
      <c r="Z558" s="10"/>
    </row>
    <row r="559" spans="1:26" x14ac:dyDescent="0.25">
      <c r="A559" s="4"/>
      <c r="B559" s="5"/>
      <c r="C559" s="5"/>
      <c r="D559" s="5"/>
      <c r="W559" s="8"/>
      <c r="X559" s="10"/>
      <c r="Y559" s="10"/>
      <c r="Z559" s="10"/>
    </row>
    <row r="560" spans="1:26" x14ac:dyDescent="0.25">
      <c r="A560" s="4"/>
      <c r="B560" s="5"/>
      <c r="C560" s="5"/>
      <c r="D560" s="5"/>
      <c r="W560" s="8"/>
      <c r="X560" s="10"/>
      <c r="Y560" s="10"/>
      <c r="Z560" s="10"/>
    </row>
    <row r="561" spans="1:26" x14ac:dyDescent="0.25">
      <c r="A561" s="4"/>
      <c r="B561" s="5"/>
      <c r="C561" s="5"/>
      <c r="D561" s="5"/>
      <c r="W561" s="8"/>
      <c r="X561" s="10"/>
      <c r="Y561" s="10"/>
      <c r="Z561" s="10"/>
    </row>
    <row r="562" spans="1:26" x14ac:dyDescent="0.25">
      <c r="A562" s="4"/>
      <c r="B562" s="5"/>
      <c r="C562" s="5"/>
      <c r="D562" s="5"/>
      <c r="W562" s="8"/>
      <c r="X562" s="10"/>
      <c r="Y562" s="10"/>
      <c r="Z562" s="10"/>
    </row>
    <row r="563" spans="1:26" x14ac:dyDescent="0.25">
      <c r="A563" s="4"/>
      <c r="B563" s="5"/>
      <c r="C563" s="5"/>
      <c r="D563" s="5"/>
      <c r="W563" s="8"/>
      <c r="X563" s="10"/>
      <c r="Y563" s="10"/>
      <c r="Z563" s="10"/>
    </row>
    <row r="564" spans="1:26" x14ac:dyDescent="0.25">
      <c r="A564" s="4"/>
      <c r="B564" s="5"/>
      <c r="C564" s="5"/>
      <c r="D564" s="5"/>
      <c r="W564" s="8"/>
      <c r="X564" s="10"/>
      <c r="Y564" s="10"/>
      <c r="Z564" s="10"/>
    </row>
    <row r="565" spans="1:26" x14ac:dyDescent="0.25">
      <c r="A565" s="4"/>
      <c r="B565" s="5"/>
      <c r="C565" s="5"/>
      <c r="D565" s="5"/>
      <c r="W565" s="8"/>
      <c r="X565" s="10"/>
      <c r="Y565" s="10"/>
      <c r="Z565" s="10"/>
    </row>
    <row r="566" spans="1:26" x14ac:dyDescent="0.25">
      <c r="A566" s="4"/>
      <c r="B566" s="5"/>
      <c r="C566" s="5"/>
      <c r="D566" s="5"/>
      <c r="W566" s="8"/>
      <c r="X566" s="10"/>
      <c r="Y566" s="10"/>
      <c r="Z566" s="10"/>
    </row>
    <row r="567" spans="1:26" x14ac:dyDescent="0.25">
      <c r="A567" s="4"/>
      <c r="B567" s="5"/>
      <c r="C567" s="5"/>
      <c r="D567" s="5"/>
      <c r="W567" s="8"/>
      <c r="X567" s="10"/>
      <c r="Y567" s="10"/>
      <c r="Z567" s="10"/>
    </row>
    <row r="568" spans="1:26" x14ac:dyDescent="0.25">
      <c r="A568" s="4"/>
      <c r="B568" s="5"/>
      <c r="C568" s="5"/>
      <c r="D568" s="5"/>
      <c r="W568" s="8"/>
      <c r="X568" s="10"/>
      <c r="Y568" s="10"/>
      <c r="Z568" s="10"/>
    </row>
    <row r="569" spans="1:26" x14ac:dyDescent="0.25">
      <c r="A569" s="4"/>
      <c r="B569" s="5"/>
      <c r="C569" s="5"/>
      <c r="D569" s="5"/>
      <c r="W569" s="8"/>
      <c r="X569" s="10"/>
      <c r="Y569" s="10"/>
      <c r="Z569" s="10"/>
    </row>
    <row r="570" spans="1:26" x14ac:dyDescent="0.25">
      <c r="A570" s="4"/>
      <c r="B570" s="5"/>
      <c r="C570" s="5"/>
      <c r="D570" s="5"/>
      <c r="W570" s="8"/>
      <c r="X570" s="10"/>
      <c r="Y570" s="10"/>
      <c r="Z570" s="10"/>
    </row>
    <row r="571" spans="1:26" x14ac:dyDescent="0.25">
      <c r="A571" s="4"/>
      <c r="B571" s="5"/>
      <c r="C571" s="5"/>
      <c r="D571" s="5"/>
      <c r="W571" s="8"/>
      <c r="X571" s="10"/>
      <c r="Y571" s="10"/>
      <c r="Z571" s="10"/>
    </row>
    <row r="572" spans="1:26" x14ac:dyDescent="0.25">
      <c r="A572" s="4"/>
      <c r="B572" s="5"/>
      <c r="C572" s="5"/>
      <c r="D572" s="5"/>
      <c r="W572" s="8"/>
      <c r="X572" s="10"/>
      <c r="Y572" s="10"/>
      <c r="Z572" s="10"/>
    </row>
    <row r="573" spans="1:26" x14ac:dyDescent="0.25">
      <c r="A573" s="4"/>
      <c r="B573" s="5"/>
      <c r="C573" s="5"/>
      <c r="D573" s="5"/>
      <c r="W573" s="8"/>
      <c r="X573" s="10"/>
      <c r="Y573" s="10"/>
      <c r="Z573" s="10"/>
    </row>
    <row r="574" spans="1:26" x14ac:dyDescent="0.25">
      <c r="A574" s="4"/>
      <c r="B574" s="5"/>
      <c r="C574" s="5"/>
      <c r="D574" s="5"/>
      <c r="W574" s="8"/>
      <c r="X574" s="10"/>
      <c r="Y574" s="10"/>
      <c r="Z574" s="10"/>
    </row>
    <row r="575" spans="1:26" x14ac:dyDescent="0.25">
      <c r="A575" s="4"/>
      <c r="B575" s="5"/>
      <c r="C575" s="5"/>
      <c r="D575" s="5"/>
      <c r="W575" s="8"/>
      <c r="X575" s="10"/>
      <c r="Y575" s="10"/>
      <c r="Z575" s="10"/>
    </row>
    <row r="576" spans="1:26" x14ac:dyDescent="0.25">
      <c r="A576" s="4"/>
      <c r="B576" s="5"/>
      <c r="C576" s="5"/>
      <c r="D576" s="5"/>
      <c r="W576" s="8"/>
      <c r="X576" s="10"/>
      <c r="Y576" s="10"/>
      <c r="Z576" s="10"/>
    </row>
    <row r="577" spans="1:26" x14ac:dyDescent="0.25">
      <c r="A577" s="4"/>
      <c r="B577" s="5"/>
      <c r="C577" s="5"/>
      <c r="D577" s="5"/>
      <c r="W577" s="8"/>
      <c r="X577" s="10"/>
      <c r="Y577" s="10"/>
      <c r="Z577" s="10"/>
    </row>
    <row r="578" spans="1:26" x14ac:dyDescent="0.25">
      <c r="A578" s="4"/>
      <c r="B578" s="5"/>
      <c r="C578" s="5"/>
      <c r="D578" s="5"/>
      <c r="W578" s="8"/>
      <c r="X578" s="10"/>
      <c r="Y578" s="10"/>
      <c r="Z578" s="10"/>
    </row>
    <row r="579" spans="1:26" x14ac:dyDescent="0.25">
      <c r="A579" s="4"/>
      <c r="B579" s="5"/>
      <c r="C579" s="5"/>
      <c r="D579" s="5"/>
      <c r="W579" s="8"/>
      <c r="X579" s="10"/>
      <c r="Y579" s="10"/>
      <c r="Z579" s="10"/>
    </row>
    <row r="580" spans="1:26" x14ac:dyDescent="0.25">
      <c r="A580" s="4"/>
      <c r="B580" s="5"/>
      <c r="C580" s="5"/>
      <c r="D580" s="5"/>
      <c r="W580" s="8"/>
      <c r="X580" s="10"/>
      <c r="Y580" s="10"/>
      <c r="Z580" s="10"/>
    </row>
    <row r="581" spans="1:26" x14ac:dyDescent="0.25">
      <c r="A581" s="4"/>
      <c r="B581" s="5"/>
      <c r="C581" s="5"/>
      <c r="D581" s="5"/>
      <c r="W581" s="8"/>
      <c r="X581" s="10"/>
      <c r="Y581" s="10"/>
      <c r="Z581" s="10"/>
    </row>
    <row r="582" spans="1:26" x14ac:dyDescent="0.25">
      <c r="A582" s="4"/>
      <c r="B582" s="5"/>
      <c r="C582" s="5"/>
      <c r="D582" s="5"/>
      <c r="W582" s="8"/>
      <c r="X582" s="10"/>
      <c r="Y582" s="10"/>
      <c r="Z582" s="10"/>
    </row>
    <row r="583" spans="1:26" x14ac:dyDescent="0.25">
      <c r="A583" s="4"/>
      <c r="B583" s="5"/>
      <c r="C583" s="5"/>
      <c r="D583" s="5"/>
      <c r="W583" s="8"/>
      <c r="X583" s="10"/>
      <c r="Y583" s="10"/>
      <c r="Z583" s="10"/>
    </row>
    <row r="584" spans="1:26" x14ac:dyDescent="0.25">
      <c r="A584" s="4"/>
      <c r="B584" s="5"/>
      <c r="C584" s="5"/>
      <c r="D584" s="5"/>
      <c r="W584" s="8"/>
      <c r="X584" s="10"/>
      <c r="Y584" s="10"/>
      <c r="Z584" s="10"/>
    </row>
    <row r="585" spans="1:26" x14ac:dyDescent="0.25">
      <c r="A585" s="4"/>
      <c r="B585" s="5"/>
      <c r="C585" s="5"/>
      <c r="D585" s="5"/>
      <c r="W585" s="8"/>
      <c r="X585" s="10"/>
      <c r="Y585" s="10"/>
      <c r="Z585" s="10"/>
    </row>
    <row r="586" spans="1:26" x14ac:dyDescent="0.25">
      <c r="A586" s="4"/>
      <c r="B586" s="5"/>
      <c r="C586" s="5"/>
      <c r="D586" s="5"/>
      <c r="W586" s="8"/>
      <c r="X586" s="10"/>
      <c r="Y586" s="10"/>
      <c r="Z586" s="10"/>
    </row>
    <row r="587" spans="1:26" x14ac:dyDescent="0.25">
      <c r="A587" s="4"/>
      <c r="B587" s="5"/>
      <c r="C587" s="5"/>
      <c r="D587" s="5"/>
      <c r="W587" s="8"/>
      <c r="X587" s="10"/>
      <c r="Y587" s="10"/>
      <c r="Z587" s="10"/>
    </row>
    <row r="588" spans="1:26" x14ac:dyDescent="0.25">
      <c r="A588" s="4"/>
      <c r="B588" s="5"/>
      <c r="C588" s="5"/>
      <c r="D588" s="5"/>
      <c r="W588" s="8"/>
      <c r="X588" s="10"/>
      <c r="Y588" s="10"/>
      <c r="Z588" s="10"/>
    </row>
    <row r="589" spans="1:26" x14ac:dyDescent="0.25">
      <c r="A589" s="4"/>
      <c r="B589" s="5"/>
      <c r="C589" s="5"/>
      <c r="D589" s="5"/>
      <c r="W589" s="8"/>
      <c r="X589" s="10"/>
      <c r="Y589" s="10"/>
      <c r="Z589" s="10"/>
    </row>
    <row r="590" spans="1:26" x14ac:dyDescent="0.25">
      <c r="A590" s="4"/>
      <c r="B590" s="5"/>
      <c r="C590" s="5"/>
      <c r="D590" s="5"/>
      <c r="W590" s="8"/>
      <c r="X590" s="10"/>
      <c r="Y590" s="10"/>
      <c r="Z590" s="10"/>
    </row>
    <row r="591" spans="1:26" x14ac:dyDescent="0.25">
      <c r="A591" s="4"/>
      <c r="B591" s="5"/>
      <c r="C591" s="5"/>
      <c r="D591" s="5"/>
      <c r="W591" s="8"/>
      <c r="X591" s="10"/>
      <c r="Y591" s="10"/>
      <c r="Z591" s="10"/>
    </row>
    <row r="592" spans="1:26" x14ac:dyDescent="0.25">
      <c r="A592" s="4"/>
      <c r="B592" s="5"/>
      <c r="C592" s="5"/>
      <c r="D592" s="5"/>
      <c r="W592" s="8"/>
      <c r="X592" s="10"/>
      <c r="Y592" s="10"/>
      <c r="Z592" s="10"/>
    </row>
    <row r="593" spans="1:26" x14ac:dyDescent="0.25">
      <c r="A593" s="4"/>
      <c r="B593" s="5"/>
      <c r="C593" s="5"/>
      <c r="D593" s="5"/>
      <c r="W593" s="8"/>
      <c r="X593" s="10"/>
      <c r="Y593" s="10"/>
      <c r="Z593" s="10"/>
    </row>
    <row r="594" spans="1:26" x14ac:dyDescent="0.25">
      <c r="A594" s="4"/>
      <c r="B594" s="5"/>
      <c r="C594" s="5"/>
      <c r="D594" s="5"/>
      <c r="W594" s="8"/>
      <c r="X594" s="10"/>
      <c r="Y594" s="10"/>
      <c r="Z594" s="10"/>
    </row>
    <row r="595" spans="1:26" x14ac:dyDescent="0.25">
      <c r="A595" s="4"/>
      <c r="B595" s="5"/>
      <c r="C595" s="5"/>
      <c r="D595" s="5"/>
      <c r="W595" s="8"/>
      <c r="X595" s="10"/>
      <c r="Y595" s="10"/>
      <c r="Z595" s="10"/>
    </row>
    <row r="596" spans="1:26" x14ac:dyDescent="0.25">
      <c r="A596" s="4"/>
      <c r="B596" s="5"/>
      <c r="C596" s="5"/>
      <c r="D596" s="5"/>
      <c r="W596" s="8"/>
      <c r="X596" s="10"/>
      <c r="Y596" s="10"/>
      <c r="Z596" s="10"/>
    </row>
    <row r="597" spans="1:26" x14ac:dyDescent="0.25">
      <c r="A597" s="4"/>
      <c r="B597" s="5"/>
      <c r="C597" s="5"/>
      <c r="D597" s="5"/>
      <c r="W597" s="8"/>
      <c r="X597" s="10"/>
      <c r="Y597" s="10"/>
      <c r="Z597" s="10"/>
    </row>
    <row r="598" spans="1:26" x14ac:dyDescent="0.25">
      <c r="A598" s="4"/>
      <c r="B598" s="5"/>
      <c r="C598" s="5"/>
      <c r="D598" s="5"/>
      <c r="W598" s="8"/>
      <c r="X598" s="10"/>
      <c r="Y598" s="10"/>
      <c r="Z598" s="10"/>
    </row>
    <row r="599" spans="1:26" x14ac:dyDescent="0.25">
      <c r="A599" s="4"/>
      <c r="B599" s="5"/>
      <c r="C599" s="5"/>
      <c r="D599" s="5"/>
      <c r="W599" s="8"/>
      <c r="X599" s="10"/>
      <c r="Y599" s="10"/>
      <c r="Z599" s="10"/>
    </row>
    <row r="600" spans="1:26" x14ac:dyDescent="0.25">
      <c r="A600" s="4"/>
      <c r="B600" s="5"/>
      <c r="C600" s="5"/>
      <c r="D600" s="5"/>
      <c r="W600" s="8"/>
      <c r="X600" s="10"/>
      <c r="Y600" s="10"/>
      <c r="Z600" s="10"/>
    </row>
    <row r="601" spans="1:26" x14ac:dyDescent="0.25">
      <c r="A601" s="4"/>
      <c r="B601" s="5"/>
      <c r="C601" s="5"/>
      <c r="D601" s="5"/>
      <c r="W601" s="8"/>
      <c r="X601" s="10"/>
      <c r="Y601" s="10"/>
      <c r="Z601" s="10"/>
    </row>
    <row r="602" spans="1:26" x14ac:dyDescent="0.25">
      <c r="A602" s="4"/>
      <c r="B602" s="5"/>
      <c r="C602" s="5"/>
      <c r="D602" s="5"/>
      <c r="W602" s="8"/>
      <c r="X602" s="10"/>
      <c r="Y602" s="10"/>
      <c r="Z602" s="10"/>
    </row>
    <row r="603" spans="1:26" x14ac:dyDescent="0.25">
      <c r="A603" s="4"/>
      <c r="B603" s="5"/>
      <c r="C603" s="5"/>
      <c r="D603" s="5"/>
      <c r="W603" s="8"/>
      <c r="X603" s="10"/>
      <c r="Y603" s="10"/>
      <c r="Z603" s="10"/>
    </row>
    <row r="604" spans="1:26" x14ac:dyDescent="0.25">
      <c r="A604" s="4"/>
      <c r="B604" s="5"/>
      <c r="C604" s="5"/>
      <c r="D604" s="5"/>
      <c r="W604" s="8"/>
      <c r="X604" s="10"/>
      <c r="Y604" s="10"/>
      <c r="Z604" s="10"/>
    </row>
    <row r="605" spans="1:26" x14ac:dyDescent="0.25">
      <c r="A605" s="4"/>
      <c r="B605" s="5"/>
      <c r="C605" s="5"/>
      <c r="D605" s="5"/>
      <c r="W605" s="8"/>
      <c r="X605" s="10"/>
      <c r="Y605" s="10"/>
      <c r="Z605" s="10"/>
    </row>
    <row r="606" spans="1:26" x14ac:dyDescent="0.25">
      <c r="A606" s="4"/>
      <c r="B606" s="5"/>
      <c r="C606" s="5"/>
      <c r="D606" s="5"/>
      <c r="W606" s="8"/>
      <c r="X606" s="10"/>
      <c r="Y606" s="10"/>
      <c r="Z606" s="10"/>
    </row>
    <row r="607" spans="1:26" x14ac:dyDescent="0.25">
      <c r="A607" s="4"/>
      <c r="B607" s="5"/>
      <c r="C607" s="5"/>
      <c r="D607" s="5"/>
      <c r="W607" s="8"/>
      <c r="X607" s="10"/>
      <c r="Y607" s="10"/>
      <c r="Z607" s="10"/>
    </row>
    <row r="608" spans="1:26" x14ac:dyDescent="0.25">
      <c r="A608" s="4"/>
      <c r="B608" s="5"/>
      <c r="C608" s="5"/>
      <c r="D608" s="5"/>
      <c r="W608" s="8"/>
      <c r="X608" s="10"/>
      <c r="Y608" s="10"/>
      <c r="Z608" s="10"/>
    </row>
    <row r="609" spans="1:26" x14ac:dyDescent="0.25">
      <c r="A609" s="4"/>
      <c r="B609" s="5"/>
      <c r="C609" s="5"/>
      <c r="D609" s="5"/>
      <c r="W609" s="8"/>
      <c r="X609" s="10"/>
      <c r="Y609" s="10"/>
      <c r="Z609" s="10"/>
    </row>
    <row r="610" spans="1:26" x14ac:dyDescent="0.25">
      <c r="A610" s="4"/>
      <c r="B610" s="5"/>
      <c r="C610" s="5"/>
      <c r="D610" s="5"/>
      <c r="W610" s="8"/>
      <c r="X610" s="10"/>
      <c r="Y610" s="10"/>
      <c r="Z610" s="10"/>
    </row>
    <row r="611" spans="1:26" x14ac:dyDescent="0.25">
      <c r="A611" s="4"/>
      <c r="B611" s="5"/>
      <c r="C611" s="5"/>
      <c r="D611" s="5"/>
      <c r="W611" s="8"/>
      <c r="X611" s="10"/>
      <c r="Y611" s="10"/>
      <c r="Z611" s="10"/>
    </row>
    <row r="612" spans="1:26" x14ac:dyDescent="0.25">
      <c r="A612" s="4"/>
      <c r="B612" s="5"/>
      <c r="C612" s="5"/>
      <c r="D612" s="5"/>
      <c r="W612" s="8"/>
      <c r="X612" s="10"/>
      <c r="Y612" s="10"/>
      <c r="Z612" s="10"/>
    </row>
    <row r="613" spans="1:26" x14ac:dyDescent="0.25">
      <c r="A613" s="4"/>
      <c r="B613" s="5"/>
      <c r="C613" s="5"/>
      <c r="D613" s="5"/>
      <c r="W613" s="8"/>
      <c r="X613" s="10"/>
      <c r="Y613" s="10"/>
      <c r="Z613" s="10"/>
    </row>
    <row r="614" spans="1:26" x14ac:dyDescent="0.25">
      <c r="A614" s="4"/>
      <c r="B614" s="5"/>
      <c r="C614" s="5"/>
      <c r="D614" s="5"/>
      <c r="W614" s="8"/>
      <c r="X614" s="10"/>
      <c r="Y614" s="10"/>
      <c r="Z614" s="10"/>
    </row>
    <row r="615" spans="1:26" x14ac:dyDescent="0.25">
      <c r="A615" s="4"/>
      <c r="B615" s="5"/>
      <c r="C615" s="5"/>
      <c r="D615" s="5"/>
      <c r="W615" s="8"/>
      <c r="X615" s="10"/>
      <c r="Y615" s="10"/>
      <c r="Z615" s="10"/>
    </row>
    <row r="616" spans="1:26" x14ac:dyDescent="0.25">
      <c r="A616" s="4"/>
      <c r="B616" s="5"/>
      <c r="C616" s="5"/>
      <c r="D616" s="5"/>
      <c r="W616" s="8"/>
      <c r="X616" s="10"/>
      <c r="Y616" s="10"/>
      <c r="Z616" s="10"/>
    </row>
    <row r="617" spans="1:26" x14ac:dyDescent="0.25">
      <c r="A617" s="4"/>
      <c r="B617" s="5"/>
      <c r="C617" s="5"/>
      <c r="D617" s="5"/>
      <c r="W617" s="8"/>
      <c r="X617" s="10"/>
      <c r="Y617" s="10"/>
      <c r="Z617" s="10"/>
    </row>
    <row r="618" spans="1:26" x14ac:dyDescent="0.25">
      <c r="A618" s="4"/>
      <c r="B618" s="5"/>
      <c r="C618" s="5"/>
      <c r="D618" s="5"/>
      <c r="W618" s="8"/>
      <c r="X618" s="10"/>
      <c r="Y618" s="10"/>
      <c r="Z618" s="10"/>
    </row>
    <row r="619" spans="1:26" x14ac:dyDescent="0.25">
      <c r="A619" s="4"/>
      <c r="B619" s="5"/>
      <c r="C619" s="5"/>
      <c r="D619" s="5"/>
      <c r="W619" s="8"/>
      <c r="X619" s="10"/>
      <c r="Y619" s="10"/>
      <c r="Z619" s="10"/>
    </row>
    <row r="620" spans="1:26" x14ac:dyDescent="0.25">
      <c r="A620" s="4"/>
      <c r="B620" s="5"/>
      <c r="C620" s="5"/>
      <c r="D620" s="5"/>
      <c r="W620" s="8"/>
      <c r="X620" s="10"/>
      <c r="Y620" s="10"/>
      <c r="Z620" s="10"/>
    </row>
    <row r="621" spans="1:26" x14ac:dyDescent="0.25">
      <c r="A621" s="4"/>
      <c r="B621" s="5"/>
      <c r="C621" s="5"/>
      <c r="D621" s="5"/>
      <c r="W621" s="8"/>
      <c r="X621" s="10"/>
      <c r="Y621" s="10"/>
      <c r="Z621" s="10"/>
    </row>
    <row r="622" spans="1:26" x14ac:dyDescent="0.25">
      <c r="A622" s="4"/>
      <c r="B622" s="5"/>
      <c r="C622" s="5"/>
      <c r="D622" s="5"/>
      <c r="W622" s="8"/>
      <c r="X622" s="10"/>
      <c r="Y622" s="10"/>
      <c r="Z622" s="10"/>
    </row>
    <row r="623" spans="1:26" x14ac:dyDescent="0.25">
      <c r="A623" s="4"/>
      <c r="B623" s="5"/>
      <c r="C623" s="5"/>
      <c r="D623" s="5"/>
      <c r="W623" s="8"/>
      <c r="X623" s="10"/>
      <c r="Y623" s="10"/>
      <c r="Z623" s="10"/>
    </row>
    <row r="624" spans="1:26" x14ac:dyDescent="0.25">
      <c r="A624" s="4"/>
      <c r="B624" s="5"/>
      <c r="C624" s="5"/>
      <c r="D624" s="5"/>
      <c r="W624" s="8"/>
      <c r="X624" s="10"/>
      <c r="Y624" s="10"/>
      <c r="Z624" s="10"/>
    </row>
    <row r="625" spans="1:26" x14ac:dyDescent="0.25">
      <c r="A625" s="4"/>
      <c r="B625" s="5"/>
      <c r="C625" s="5"/>
      <c r="D625" s="5"/>
      <c r="W625" s="8"/>
      <c r="X625" s="10"/>
      <c r="Y625" s="10"/>
      <c r="Z625" s="10"/>
    </row>
    <row r="626" spans="1:26" x14ac:dyDescent="0.25">
      <c r="A626" s="4"/>
      <c r="B626" s="5"/>
      <c r="C626" s="5"/>
      <c r="D626" s="5"/>
      <c r="W626" s="8"/>
      <c r="X626" s="10"/>
      <c r="Y626" s="10"/>
      <c r="Z626" s="10"/>
    </row>
    <row r="627" spans="1:26" x14ac:dyDescent="0.25">
      <c r="A627" s="4"/>
      <c r="B627" s="5"/>
      <c r="C627" s="5"/>
      <c r="D627" s="5"/>
      <c r="W627" s="8"/>
      <c r="X627" s="10"/>
      <c r="Y627" s="10"/>
      <c r="Z627" s="10"/>
    </row>
    <row r="628" spans="1:26" x14ac:dyDescent="0.25">
      <c r="A628" s="4"/>
      <c r="B628" s="5"/>
      <c r="C628" s="5"/>
      <c r="D628" s="5"/>
      <c r="W628" s="8"/>
      <c r="X628" s="10"/>
      <c r="Y628" s="10"/>
      <c r="Z628" s="10"/>
    </row>
    <row r="629" spans="1:26" x14ac:dyDescent="0.25">
      <c r="A629" s="4"/>
      <c r="B629" s="5"/>
      <c r="C629" s="5"/>
      <c r="D629" s="5"/>
      <c r="W629" s="8"/>
      <c r="X629" s="10"/>
      <c r="Y629" s="10"/>
      <c r="Z629" s="10"/>
    </row>
    <row r="630" spans="1:26" x14ac:dyDescent="0.25">
      <c r="A630" s="4"/>
      <c r="B630" s="5"/>
      <c r="C630" s="5"/>
      <c r="D630" s="5"/>
      <c r="W630" s="8"/>
      <c r="X630" s="10"/>
      <c r="Y630" s="10"/>
      <c r="Z630" s="10"/>
    </row>
    <row r="631" spans="1:26" x14ac:dyDescent="0.25">
      <c r="A631" s="4"/>
      <c r="B631" s="5"/>
      <c r="C631" s="5"/>
      <c r="D631" s="5"/>
      <c r="W631" s="8"/>
      <c r="X631" s="10"/>
      <c r="Y631" s="10"/>
      <c r="Z631" s="10"/>
    </row>
    <row r="632" spans="1:26" x14ac:dyDescent="0.25">
      <c r="A632" s="4"/>
      <c r="B632" s="5"/>
      <c r="C632" s="5"/>
      <c r="D632" s="5"/>
      <c r="W632" s="8"/>
      <c r="X632" s="10"/>
      <c r="Y632" s="10"/>
      <c r="Z632" s="10"/>
    </row>
    <row r="633" spans="1:26" x14ac:dyDescent="0.25">
      <c r="A633" s="4"/>
      <c r="B633" s="5"/>
      <c r="C633" s="5"/>
      <c r="D633" s="5"/>
      <c r="W633" s="8"/>
      <c r="X633" s="10"/>
      <c r="Y633" s="10"/>
      <c r="Z633" s="10"/>
    </row>
    <row r="634" spans="1:26" x14ac:dyDescent="0.25">
      <c r="A634" s="4"/>
      <c r="B634" s="5"/>
      <c r="C634" s="5"/>
      <c r="D634" s="5"/>
      <c r="W634" s="8"/>
      <c r="X634" s="10"/>
      <c r="Y634" s="10"/>
      <c r="Z634" s="10"/>
    </row>
    <row r="635" spans="1:26" x14ac:dyDescent="0.25">
      <c r="A635" s="4"/>
      <c r="B635" s="5"/>
      <c r="C635" s="5"/>
      <c r="D635" s="5"/>
      <c r="W635" s="8"/>
      <c r="X635" s="10"/>
      <c r="Y635" s="10"/>
      <c r="Z635" s="10"/>
    </row>
    <row r="636" spans="1:26" x14ac:dyDescent="0.25">
      <c r="A636" s="4"/>
      <c r="B636" s="5"/>
      <c r="C636" s="5"/>
      <c r="D636" s="5"/>
      <c r="W636" s="8"/>
      <c r="X636" s="10"/>
      <c r="Y636" s="10"/>
      <c r="Z636" s="10"/>
    </row>
    <row r="637" spans="1:26" x14ac:dyDescent="0.25">
      <c r="A637" s="4"/>
      <c r="B637" s="5"/>
      <c r="C637" s="5"/>
      <c r="D637" s="5"/>
      <c r="W637" s="8"/>
      <c r="X637" s="10"/>
      <c r="Y637" s="10"/>
      <c r="Z637" s="10"/>
    </row>
    <row r="638" spans="1:26" x14ac:dyDescent="0.25">
      <c r="A638" s="4"/>
      <c r="B638" s="5"/>
      <c r="C638" s="5"/>
      <c r="D638" s="5"/>
      <c r="W638" s="8"/>
      <c r="X638" s="10"/>
      <c r="Y638" s="10"/>
      <c r="Z638" s="10"/>
    </row>
    <row r="639" spans="1:26" x14ac:dyDescent="0.25">
      <c r="A639" s="4"/>
      <c r="B639" s="5"/>
      <c r="C639" s="5"/>
      <c r="D639" s="5"/>
      <c r="W639" s="8"/>
      <c r="X639" s="10"/>
      <c r="Y639" s="10"/>
      <c r="Z639" s="10"/>
    </row>
    <row r="640" spans="1:26" x14ac:dyDescent="0.25">
      <c r="A640" s="4"/>
      <c r="B640" s="5"/>
      <c r="C640" s="5"/>
      <c r="D640" s="5"/>
      <c r="W640" s="8"/>
      <c r="X640" s="10"/>
      <c r="Y640" s="10"/>
      <c r="Z640" s="10"/>
    </row>
    <row r="641" spans="1:26" x14ac:dyDescent="0.25">
      <c r="A641" s="4"/>
      <c r="B641" s="5"/>
      <c r="C641" s="5"/>
      <c r="D641" s="5"/>
      <c r="W641" s="8"/>
      <c r="X641" s="10"/>
      <c r="Y641" s="10"/>
      <c r="Z641" s="10"/>
    </row>
    <row r="642" spans="1:26" x14ac:dyDescent="0.25">
      <c r="A642" s="4"/>
      <c r="B642" s="5"/>
      <c r="C642" s="5"/>
      <c r="D642" s="5"/>
      <c r="W642" s="8"/>
      <c r="X642" s="10"/>
      <c r="Y642" s="10"/>
      <c r="Z642" s="10"/>
    </row>
    <row r="643" spans="1:26" x14ac:dyDescent="0.25">
      <c r="A643" s="4"/>
      <c r="B643" s="5"/>
      <c r="C643" s="5"/>
      <c r="D643" s="5"/>
      <c r="W643" s="8"/>
      <c r="X643" s="10"/>
      <c r="Y643" s="10"/>
      <c r="Z643" s="10"/>
    </row>
    <row r="644" spans="1:26" x14ac:dyDescent="0.25">
      <c r="A644" s="4"/>
      <c r="B644" s="5"/>
      <c r="C644" s="5"/>
      <c r="D644" s="5"/>
      <c r="W644" s="8"/>
      <c r="X644" s="10"/>
      <c r="Y644" s="10"/>
      <c r="Z644" s="10"/>
    </row>
    <row r="645" spans="1:26" x14ac:dyDescent="0.25">
      <c r="A645" s="4"/>
      <c r="B645" s="5"/>
      <c r="C645" s="5"/>
      <c r="D645" s="5"/>
      <c r="W645" s="8"/>
      <c r="X645" s="10"/>
      <c r="Y645" s="10"/>
      <c r="Z645" s="10"/>
    </row>
    <row r="646" spans="1:26" x14ac:dyDescent="0.25">
      <c r="A646" s="4"/>
      <c r="B646" s="5"/>
      <c r="C646" s="5"/>
      <c r="D646" s="5"/>
      <c r="W646" s="8"/>
      <c r="X646" s="10"/>
      <c r="Y646" s="10"/>
      <c r="Z646" s="10"/>
    </row>
    <row r="647" spans="1:26" x14ac:dyDescent="0.25">
      <c r="A647" s="4"/>
      <c r="B647" s="5"/>
      <c r="C647" s="5"/>
      <c r="D647" s="5"/>
      <c r="W647" s="8"/>
      <c r="X647" s="10"/>
      <c r="Y647" s="10"/>
      <c r="Z647" s="10"/>
    </row>
    <row r="648" spans="1:26" x14ac:dyDescent="0.25">
      <c r="A648" s="4"/>
      <c r="B648" s="5"/>
      <c r="C648" s="5"/>
      <c r="D648" s="5"/>
      <c r="W648" s="8"/>
      <c r="X648" s="10"/>
      <c r="Y648" s="10"/>
      <c r="Z648" s="10"/>
    </row>
    <row r="649" spans="1:26" x14ac:dyDescent="0.25">
      <c r="A649" s="4"/>
      <c r="B649" s="5"/>
      <c r="C649" s="5"/>
      <c r="D649" s="5"/>
      <c r="W649" s="8"/>
      <c r="X649" s="10"/>
      <c r="Y649" s="10"/>
      <c r="Z649" s="10"/>
    </row>
    <row r="650" spans="1:26" x14ac:dyDescent="0.25">
      <c r="A650" s="4"/>
      <c r="B650" s="5"/>
      <c r="C650" s="5"/>
      <c r="D650" s="5"/>
      <c r="W650" s="8"/>
      <c r="X650" s="10"/>
      <c r="Y650" s="10"/>
      <c r="Z650" s="10"/>
    </row>
    <row r="651" spans="1:26" x14ac:dyDescent="0.25">
      <c r="A651" s="4"/>
      <c r="B651" s="5"/>
      <c r="C651" s="5"/>
      <c r="D651" s="5"/>
      <c r="W651" s="8"/>
      <c r="X651" s="10"/>
      <c r="Y651" s="10"/>
      <c r="Z651" s="10"/>
    </row>
    <row r="652" spans="1:26" x14ac:dyDescent="0.25">
      <c r="A652" s="4"/>
      <c r="B652" s="5"/>
      <c r="C652" s="5"/>
      <c r="D652" s="5"/>
      <c r="W652" s="8"/>
      <c r="X652" s="10"/>
      <c r="Y652" s="10"/>
      <c r="Z652" s="10"/>
    </row>
    <row r="653" spans="1:26" x14ac:dyDescent="0.25">
      <c r="A653" s="4"/>
      <c r="B653" s="5"/>
      <c r="C653" s="5"/>
      <c r="D653" s="5"/>
      <c r="W653" s="8"/>
      <c r="X653" s="10"/>
      <c r="Y653" s="10"/>
      <c r="Z653" s="10"/>
    </row>
    <row r="654" spans="1:26" x14ac:dyDescent="0.25">
      <c r="A654" s="4"/>
      <c r="B654" s="5"/>
      <c r="C654" s="5"/>
      <c r="D654" s="5"/>
      <c r="W654" s="8"/>
      <c r="X654" s="10"/>
      <c r="Y654" s="10"/>
      <c r="Z654" s="10"/>
    </row>
    <row r="655" spans="1:26" x14ac:dyDescent="0.25">
      <c r="A655" s="4"/>
      <c r="B655" s="5"/>
      <c r="C655" s="5"/>
      <c r="D655" s="5"/>
      <c r="W655" s="8"/>
      <c r="X655" s="10"/>
      <c r="Y655" s="10"/>
      <c r="Z655" s="10"/>
    </row>
    <row r="656" spans="1:26" x14ac:dyDescent="0.25">
      <c r="A656" s="4"/>
      <c r="B656" s="5"/>
      <c r="C656" s="5"/>
      <c r="D656" s="5"/>
      <c r="W656" s="8"/>
      <c r="X656" s="10"/>
      <c r="Y656" s="10"/>
      <c r="Z656" s="10"/>
    </row>
    <row r="657" spans="1:26" x14ac:dyDescent="0.25">
      <c r="A657" s="4"/>
      <c r="B657" s="5"/>
      <c r="C657" s="5"/>
      <c r="D657" s="5"/>
      <c r="W657" s="8"/>
      <c r="X657" s="10"/>
      <c r="Y657" s="10"/>
      <c r="Z657" s="10"/>
    </row>
    <row r="658" spans="1:26" x14ac:dyDescent="0.25">
      <c r="A658" s="4"/>
      <c r="B658" s="5"/>
      <c r="C658" s="5"/>
      <c r="D658" s="5"/>
      <c r="W658" s="8"/>
      <c r="X658" s="10"/>
      <c r="Y658" s="10"/>
      <c r="Z658" s="10"/>
    </row>
    <row r="659" spans="1:26" x14ac:dyDescent="0.25">
      <c r="A659" s="4"/>
      <c r="B659" s="5"/>
      <c r="C659" s="5"/>
      <c r="D659" s="5"/>
      <c r="W659" s="8"/>
      <c r="X659" s="10"/>
      <c r="Y659" s="10"/>
      <c r="Z659" s="10"/>
    </row>
    <row r="660" spans="1:26" x14ac:dyDescent="0.25">
      <c r="A660" s="4"/>
      <c r="B660" s="5"/>
      <c r="C660" s="5"/>
      <c r="D660" s="5"/>
      <c r="W660" s="8"/>
      <c r="X660" s="10"/>
      <c r="Y660" s="10"/>
      <c r="Z660" s="10"/>
    </row>
    <row r="661" spans="1:26" x14ac:dyDescent="0.25">
      <c r="A661" s="4"/>
      <c r="B661" s="5"/>
      <c r="C661" s="5"/>
      <c r="D661" s="5"/>
      <c r="W661" s="8"/>
      <c r="X661" s="10"/>
      <c r="Y661" s="10"/>
      <c r="Z661" s="10"/>
    </row>
    <row r="662" spans="1:26" x14ac:dyDescent="0.25">
      <c r="A662" s="4"/>
      <c r="B662" s="5"/>
      <c r="C662" s="5"/>
      <c r="D662" s="5"/>
      <c r="W662" s="8"/>
      <c r="X662" s="10"/>
      <c r="Y662" s="10"/>
      <c r="Z662" s="10"/>
    </row>
    <row r="663" spans="1:26" x14ac:dyDescent="0.25">
      <c r="A663" s="4"/>
      <c r="B663" s="5"/>
      <c r="C663" s="5"/>
      <c r="D663" s="5"/>
      <c r="W663" s="8"/>
      <c r="X663" s="10"/>
      <c r="Y663" s="10"/>
      <c r="Z663" s="10"/>
    </row>
    <row r="664" spans="1:26" x14ac:dyDescent="0.25">
      <c r="A664" s="4"/>
      <c r="B664" s="5"/>
      <c r="C664" s="5"/>
      <c r="D664" s="5"/>
      <c r="W664" s="8"/>
      <c r="X664" s="10"/>
      <c r="Y664" s="10"/>
      <c r="Z664" s="10"/>
    </row>
    <row r="665" spans="1:26" x14ac:dyDescent="0.25">
      <c r="A665" s="4"/>
      <c r="B665" s="5"/>
      <c r="C665" s="5"/>
      <c r="D665" s="5"/>
      <c r="W665" s="8"/>
      <c r="X665" s="10"/>
      <c r="Y665" s="10"/>
      <c r="Z665" s="10"/>
    </row>
    <row r="666" spans="1:26" x14ac:dyDescent="0.25">
      <c r="A666" s="4"/>
      <c r="B666" s="5"/>
      <c r="C666" s="5"/>
      <c r="D666" s="5"/>
      <c r="W666" s="8"/>
      <c r="X666" s="10"/>
      <c r="Y666" s="10"/>
      <c r="Z666" s="10"/>
    </row>
    <row r="667" spans="1:26" x14ac:dyDescent="0.25">
      <c r="A667" s="4"/>
      <c r="B667" s="5"/>
      <c r="C667" s="5"/>
      <c r="D667" s="5"/>
      <c r="W667" s="8"/>
      <c r="X667" s="10"/>
      <c r="Y667" s="10"/>
      <c r="Z667" s="10"/>
    </row>
    <row r="668" spans="1:26" x14ac:dyDescent="0.25">
      <c r="A668" s="4"/>
      <c r="B668" s="5"/>
      <c r="C668" s="5"/>
      <c r="D668" s="5"/>
      <c r="W668" s="8"/>
      <c r="X668" s="10"/>
      <c r="Y668" s="10"/>
      <c r="Z668" s="10"/>
    </row>
    <row r="669" spans="1:26" x14ac:dyDescent="0.25">
      <c r="A669" s="4"/>
      <c r="B669" s="5"/>
      <c r="C669" s="5"/>
      <c r="D669" s="5"/>
      <c r="W669" s="8"/>
      <c r="X669" s="10"/>
      <c r="Y669" s="10"/>
      <c r="Z669" s="10"/>
    </row>
    <row r="670" spans="1:26" x14ac:dyDescent="0.25">
      <c r="A670" s="4"/>
      <c r="B670" s="5"/>
      <c r="C670" s="5"/>
      <c r="D670" s="5"/>
      <c r="W670" s="8"/>
      <c r="X670" s="10"/>
      <c r="Y670" s="10"/>
      <c r="Z670" s="10"/>
    </row>
    <row r="671" spans="1:26" x14ac:dyDescent="0.25">
      <c r="A671" s="4"/>
      <c r="B671" s="5"/>
      <c r="C671" s="5"/>
      <c r="D671" s="5"/>
      <c r="W671" s="8"/>
      <c r="X671" s="10"/>
      <c r="Y671" s="10"/>
      <c r="Z671" s="10"/>
    </row>
    <row r="672" spans="1:26" x14ac:dyDescent="0.25">
      <c r="A672" s="4"/>
      <c r="B672" s="5"/>
      <c r="C672" s="5"/>
      <c r="D672" s="5"/>
      <c r="W672" s="8"/>
      <c r="X672" s="10"/>
      <c r="Y672" s="10"/>
      <c r="Z672" s="10"/>
    </row>
    <row r="673" spans="1:26" x14ac:dyDescent="0.25">
      <c r="A673" s="4"/>
      <c r="B673" s="5"/>
      <c r="C673" s="5"/>
      <c r="D673" s="5"/>
      <c r="W673" s="8"/>
      <c r="X673" s="10"/>
      <c r="Y673" s="10"/>
      <c r="Z673" s="10"/>
    </row>
    <row r="674" spans="1:26" x14ac:dyDescent="0.25">
      <c r="A674" s="4"/>
      <c r="B674" s="5"/>
      <c r="C674" s="5"/>
      <c r="D674" s="5"/>
      <c r="W674" s="8"/>
      <c r="X674" s="10"/>
      <c r="Y674" s="10"/>
      <c r="Z674" s="10"/>
    </row>
    <row r="675" spans="1:26" x14ac:dyDescent="0.25">
      <c r="A675" s="4"/>
      <c r="B675" s="5"/>
      <c r="C675" s="5"/>
      <c r="D675" s="5"/>
      <c r="W675" s="8"/>
      <c r="X675" s="10"/>
      <c r="Y675" s="10"/>
      <c r="Z675" s="10"/>
    </row>
    <row r="676" spans="1:26" x14ac:dyDescent="0.25">
      <c r="A676" s="4"/>
      <c r="B676" s="5"/>
      <c r="C676" s="5"/>
      <c r="D676" s="5"/>
      <c r="W676" s="8"/>
      <c r="X676" s="10"/>
      <c r="Y676" s="10"/>
      <c r="Z676" s="10"/>
    </row>
    <row r="677" spans="1:26" x14ac:dyDescent="0.25">
      <c r="A677" s="4"/>
      <c r="B677" s="5"/>
      <c r="C677" s="5"/>
      <c r="D677" s="5"/>
      <c r="W677" s="8"/>
      <c r="X677" s="10"/>
      <c r="Y677" s="10"/>
      <c r="Z677" s="10"/>
    </row>
    <row r="678" spans="1:26" x14ac:dyDescent="0.25">
      <c r="A678" s="4"/>
      <c r="B678" s="5"/>
      <c r="C678" s="5"/>
      <c r="D678" s="5"/>
      <c r="W678" s="8"/>
      <c r="X678" s="10"/>
      <c r="Y678" s="10"/>
      <c r="Z678" s="10"/>
    </row>
    <row r="679" spans="1:26" x14ac:dyDescent="0.25">
      <c r="A679" s="4"/>
      <c r="B679" s="5"/>
      <c r="C679" s="5"/>
      <c r="D679" s="5"/>
      <c r="W679" s="8"/>
      <c r="X679" s="10"/>
      <c r="Y679" s="10"/>
      <c r="Z679" s="10"/>
    </row>
    <row r="680" spans="1:26" x14ac:dyDescent="0.25">
      <c r="A680" s="4"/>
      <c r="B680" s="5"/>
      <c r="C680" s="5"/>
      <c r="D680" s="5"/>
      <c r="W680" s="8"/>
      <c r="X680" s="10"/>
      <c r="Y680" s="10"/>
      <c r="Z680" s="10"/>
    </row>
    <row r="681" spans="1:26" x14ac:dyDescent="0.25">
      <c r="A681" s="4"/>
      <c r="B681" s="5"/>
      <c r="C681" s="5"/>
      <c r="D681" s="5"/>
      <c r="W681" s="8"/>
      <c r="X681" s="10"/>
      <c r="Y681" s="10"/>
      <c r="Z681" s="10"/>
    </row>
    <row r="682" spans="1:26" x14ac:dyDescent="0.25">
      <c r="A682" s="4"/>
      <c r="B682" s="5"/>
      <c r="C682" s="5"/>
      <c r="D682" s="5"/>
      <c r="W682" s="8"/>
      <c r="X682" s="10"/>
      <c r="Y682" s="10"/>
      <c r="Z682" s="10"/>
    </row>
    <row r="683" spans="1:26" x14ac:dyDescent="0.25">
      <c r="A683" s="4"/>
      <c r="B683" s="5"/>
      <c r="C683" s="5"/>
      <c r="D683" s="5"/>
      <c r="W683" s="8"/>
      <c r="X683" s="10"/>
      <c r="Y683" s="10"/>
      <c r="Z683" s="10"/>
    </row>
    <row r="684" spans="1:26" x14ac:dyDescent="0.25">
      <c r="A684" s="4"/>
      <c r="B684" s="5"/>
      <c r="C684" s="5"/>
      <c r="D684" s="5"/>
      <c r="W684" s="8"/>
      <c r="X684" s="10"/>
      <c r="Y684" s="10"/>
      <c r="Z684" s="10"/>
    </row>
    <row r="685" spans="1:26" x14ac:dyDescent="0.25">
      <c r="A685" s="4"/>
      <c r="B685" s="5"/>
      <c r="C685" s="5"/>
      <c r="D685" s="5"/>
      <c r="W685" s="8"/>
      <c r="X685" s="10"/>
      <c r="Y685" s="10"/>
      <c r="Z685" s="10"/>
    </row>
    <row r="686" spans="1:26" x14ac:dyDescent="0.25">
      <c r="A686" s="4"/>
      <c r="B686" s="5"/>
      <c r="C686" s="5"/>
      <c r="D686" s="5"/>
      <c r="W686" s="8"/>
      <c r="X686" s="10"/>
      <c r="Y686" s="10"/>
      <c r="Z686" s="10"/>
    </row>
    <row r="687" spans="1:26" x14ac:dyDescent="0.25">
      <c r="A687" s="4"/>
      <c r="B687" s="5"/>
      <c r="C687" s="5"/>
      <c r="D687" s="5"/>
      <c r="W687" s="8"/>
      <c r="X687" s="10"/>
      <c r="Y687" s="10"/>
      <c r="Z687" s="10"/>
    </row>
    <row r="688" spans="1:26" x14ac:dyDescent="0.25">
      <c r="A688" s="4"/>
      <c r="B688" s="5"/>
      <c r="C688" s="5"/>
      <c r="D688" s="5"/>
      <c r="W688" s="8"/>
      <c r="X688" s="10"/>
      <c r="Y688" s="10"/>
      <c r="Z688" s="10"/>
    </row>
    <row r="689" spans="1:26" x14ac:dyDescent="0.25">
      <c r="A689" s="4"/>
      <c r="B689" s="5"/>
      <c r="C689" s="5"/>
      <c r="D689" s="5"/>
      <c r="W689" s="8"/>
      <c r="X689" s="10"/>
      <c r="Y689" s="10"/>
      <c r="Z689" s="10"/>
    </row>
    <row r="690" spans="1:26" x14ac:dyDescent="0.25">
      <c r="A690" s="4"/>
      <c r="B690" s="5"/>
      <c r="C690" s="5"/>
      <c r="D690" s="5"/>
      <c r="W690" s="8"/>
      <c r="X690" s="10"/>
      <c r="Y690" s="10"/>
      <c r="Z690" s="10"/>
    </row>
    <row r="691" spans="1:26" x14ac:dyDescent="0.25">
      <c r="A691" s="4"/>
      <c r="B691" s="5"/>
      <c r="C691" s="5"/>
      <c r="D691" s="5"/>
      <c r="W691" s="8"/>
      <c r="X691" s="10"/>
      <c r="Y691" s="10"/>
      <c r="Z691" s="10"/>
    </row>
    <row r="692" spans="1:26" x14ac:dyDescent="0.25">
      <c r="A692" s="4"/>
      <c r="B692" s="5"/>
      <c r="C692" s="5"/>
      <c r="D692" s="5"/>
      <c r="W692" s="8"/>
      <c r="X692" s="10"/>
      <c r="Y692" s="10"/>
      <c r="Z692" s="10"/>
    </row>
    <row r="693" spans="1:26" x14ac:dyDescent="0.25">
      <c r="A693" s="4"/>
      <c r="B693" s="5"/>
      <c r="C693" s="5"/>
      <c r="D693" s="5"/>
      <c r="W693" s="8"/>
      <c r="X693" s="10"/>
      <c r="Y693" s="10"/>
      <c r="Z693" s="10"/>
    </row>
    <row r="694" spans="1:26" x14ac:dyDescent="0.25">
      <c r="A694" s="4"/>
      <c r="B694" s="5"/>
      <c r="C694" s="5"/>
      <c r="D694" s="5"/>
      <c r="W694" s="8"/>
      <c r="X694" s="10"/>
      <c r="Y694" s="10"/>
      <c r="Z694" s="10"/>
    </row>
    <row r="695" spans="1:26" x14ac:dyDescent="0.25">
      <c r="A695" s="4"/>
      <c r="B695" s="5"/>
      <c r="C695" s="5"/>
      <c r="D695" s="5"/>
      <c r="W695" s="8"/>
      <c r="X695" s="10"/>
      <c r="Y695" s="10"/>
      <c r="Z695" s="10"/>
    </row>
    <row r="696" spans="1:26" x14ac:dyDescent="0.25">
      <c r="A696" s="4"/>
      <c r="B696" s="5"/>
      <c r="C696" s="5"/>
      <c r="D696" s="5"/>
      <c r="W696" s="8"/>
      <c r="X696" s="10"/>
      <c r="Y696" s="10"/>
      <c r="Z696" s="10"/>
    </row>
    <row r="697" spans="1:26" x14ac:dyDescent="0.25">
      <c r="A697" s="4"/>
      <c r="B697" s="5"/>
      <c r="C697" s="5"/>
      <c r="D697" s="5"/>
      <c r="W697" s="8"/>
      <c r="X697" s="10"/>
      <c r="Y697" s="10"/>
      <c r="Z697" s="10"/>
    </row>
    <row r="698" spans="1:26" x14ac:dyDescent="0.25">
      <c r="A698" s="4"/>
      <c r="B698" s="5"/>
      <c r="C698" s="5"/>
      <c r="D698" s="5"/>
      <c r="W698" s="8"/>
      <c r="X698" s="10"/>
      <c r="Y698" s="10"/>
      <c r="Z698" s="10"/>
    </row>
    <row r="699" spans="1:26" x14ac:dyDescent="0.25">
      <c r="A699" s="4"/>
      <c r="B699" s="5"/>
      <c r="C699" s="5"/>
      <c r="D699" s="5"/>
      <c r="W699" s="8"/>
      <c r="X699" s="10"/>
      <c r="Y699" s="10"/>
      <c r="Z699" s="10"/>
    </row>
    <row r="700" spans="1:26" x14ac:dyDescent="0.25">
      <c r="A700" s="4"/>
      <c r="B700" s="5"/>
      <c r="C700" s="5"/>
      <c r="D700" s="5"/>
      <c r="W700" s="8"/>
      <c r="X700" s="10"/>
      <c r="Y700" s="10"/>
      <c r="Z700" s="10"/>
    </row>
    <row r="701" spans="1:26" x14ac:dyDescent="0.25">
      <c r="A701" s="4"/>
      <c r="B701" s="5"/>
      <c r="C701" s="5"/>
      <c r="D701" s="5"/>
      <c r="W701" s="8"/>
      <c r="X701" s="10"/>
      <c r="Y701" s="10"/>
      <c r="Z701" s="10"/>
    </row>
    <row r="702" spans="1:26" x14ac:dyDescent="0.25">
      <c r="A702" s="4"/>
      <c r="B702" s="5"/>
      <c r="C702" s="5"/>
      <c r="D702" s="5"/>
      <c r="W702" s="8"/>
      <c r="X702" s="10"/>
      <c r="Y702" s="10"/>
      <c r="Z702" s="10"/>
    </row>
    <row r="703" spans="1:26" x14ac:dyDescent="0.25">
      <c r="A703" s="4"/>
      <c r="B703" s="5"/>
      <c r="C703" s="5"/>
      <c r="D703" s="5"/>
      <c r="W703" s="8"/>
      <c r="X703" s="10"/>
      <c r="Y703" s="10"/>
      <c r="Z703" s="10"/>
    </row>
    <row r="704" spans="1:26" x14ac:dyDescent="0.25">
      <c r="A704" s="4"/>
      <c r="B704" s="5"/>
      <c r="C704" s="5"/>
      <c r="D704" s="5"/>
      <c r="W704" s="8"/>
      <c r="X704" s="10"/>
      <c r="Y704" s="10"/>
      <c r="Z704" s="10"/>
    </row>
    <row r="705" spans="1:26" x14ac:dyDescent="0.25">
      <c r="A705" s="4"/>
      <c r="B705" s="5"/>
      <c r="C705" s="5"/>
      <c r="D705" s="5"/>
      <c r="W705" s="8"/>
      <c r="X705" s="10"/>
      <c r="Y705" s="10"/>
      <c r="Z705" s="10"/>
    </row>
    <row r="706" spans="1:26" x14ac:dyDescent="0.25">
      <c r="A706" s="4"/>
      <c r="B706" s="5"/>
      <c r="C706" s="5"/>
      <c r="D706" s="5"/>
      <c r="W706" s="8"/>
      <c r="X706" s="10"/>
      <c r="Y706" s="10"/>
      <c r="Z706" s="10"/>
    </row>
    <row r="707" spans="1:26" x14ac:dyDescent="0.25">
      <c r="A707" s="4"/>
      <c r="B707" s="5"/>
      <c r="C707" s="5"/>
      <c r="D707" s="5"/>
      <c r="W707" s="8"/>
      <c r="X707" s="10"/>
      <c r="Y707" s="10"/>
      <c r="Z707" s="10"/>
    </row>
    <row r="708" spans="1:26" x14ac:dyDescent="0.25">
      <c r="A708" s="4"/>
      <c r="B708" s="5"/>
      <c r="C708" s="5"/>
      <c r="D708" s="5"/>
      <c r="W708" s="8"/>
      <c r="X708" s="10"/>
      <c r="Y708" s="10"/>
      <c r="Z708" s="10"/>
    </row>
    <row r="709" spans="1:26" x14ac:dyDescent="0.25">
      <c r="A709" s="4"/>
      <c r="B709" s="5"/>
      <c r="C709" s="5"/>
      <c r="D709" s="5"/>
      <c r="W709" s="8"/>
      <c r="X709" s="10"/>
      <c r="Y709" s="10"/>
      <c r="Z709" s="10"/>
    </row>
    <row r="710" spans="1:26" x14ac:dyDescent="0.25">
      <c r="A710" s="4"/>
      <c r="B710" s="5"/>
      <c r="C710" s="5"/>
      <c r="D710" s="5"/>
      <c r="W710" s="8"/>
      <c r="X710" s="10"/>
      <c r="Y710" s="10"/>
      <c r="Z710" s="10"/>
    </row>
    <row r="711" spans="1:26" x14ac:dyDescent="0.25">
      <c r="A711" s="4"/>
      <c r="B711" s="5"/>
      <c r="C711" s="5"/>
      <c r="D711" s="5"/>
      <c r="W711" s="8"/>
      <c r="X711" s="10"/>
      <c r="Y711" s="10"/>
      <c r="Z711" s="10"/>
    </row>
    <row r="712" spans="1:26" x14ac:dyDescent="0.25">
      <c r="A712" s="4"/>
      <c r="B712" s="5"/>
      <c r="C712" s="5"/>
      <c r="D712" s="5"/>
      <c r="W712" s="8"/>
      <c r="X712" s="10"/>
      <c r="Y712" s="10"/>
      <c r="Z712" s="10"/>
    </row>
    <row r="713" spans="1:26" x14ac:dyDescent="0.25">
      <c r="A713" s="4"/>
      <c r="B713" s="5"/>
      <c r="C713" s="5"/>
      <c r="D713" s="5"/>
      <c r="W713" s="8"/>
      <c r="X713" s="10"/>
      <c r="Y713" s="10"/>
      <c r="Z713" s="10"/>
    </row>
    <row r="714" spans="1:26" x14ac:dyDescent="0.25">
      <c r="A714" s="4"/>
      <c r="B714" s="5"/>
      <c r="C714" s="5"/>
      <c r="D714" s="5"/>
      <c r="W714" s="8"/>
      <c r="X714" s="10"/>
      <c r="Y714" s="10"/>
      <c r="Z714" s="10"/>
    </row>
    <row r="715" spans="1:26" x14ac:dyDescent="0.25">
      <c r="A715" s="4"/>
      <c r="B715" s="5"/>
      <c r="C715" s="5"/>
      <c r="D715" s="5"/>
      <c r="W715" s="8"/>
      <c r="X715" s="10"/>
      <c r="Y715" s="10"/>
      <c r="Z715" s="10"/>
    </row>
    <row r="716" spans="1:26" x14ac:dyDescent="0.25">
      <c r="A716" s="4"/>
      <c r="B716" s="5"/>
      <c r="C716" s="5"/>
      <c r="D716" s="5"/>
      <c r="W716" s="8"/>
      <c r="X716" s="10"/>
      <c r="Y716" s="10"/>
      <c r="Z716" s="10"/>
    </row>
    <row r="717" spans="1:26" x14ac:dyDescent="0.25">
      <c r="A717" s="4"/>
      <c r="B717" s="5"/>
      <c r="C717" s="5"/>
      <c r="D717" s="5"/>
      <c r="W717" s="8"/>
      <c r="X717" s="10"/>
      <c r="Y717" s="10"/>
      <c r="Z717" s="10"/>
    </row>
    <row r="718" spans="1:26" x14ac:dyDescent="0.25">
      <c r="A718" s="4"/>
      <c r="B718" s="5"/>
      <c r="C718" s="5"/>
      <c r="D718" s="5"/>
      <c r="W718" s="8"/>
      <c r="X718" s="10"/>
      <c r="Y718" s="10"/>
      <c r="Z718" s="10"/>
    </row>
    <row r="719" spans="1:26" x14ac:dyDescent="0.25">
      <c r="A719" s="4"/>
      <c r="B719" s="5"/>
      <c r="C719" s="5"/>
      <c r="D719" s="5"/>
      <c r="W719" s="8"/>
      <c r="X719" s="10"/>
      <c r="Y719" s="10"/>
      <c r="Z719" s="10"/>
    </row>
    <row r="720" spans="1:26" x14ac:dyDescent="0.25">
      <c r="A720" s="4"/>
      <c r="B720" s="5"/>
      <c r="C720" s="5"/>
      <c r="D720" s="5"/>
      <c r="W720" s="8"/>
      <c r="X720" s="10"/>
      <c r="Y720" s="10"/>
      <c r="Z720" s="10"/>
    </row>
    <row r="721" spans="1:26" x14ac:dyDescent="0.25">
      <c r="A721" s="4"/>
      <c r="B721" s="5"/>
      <c r="C721" s="5"/>
      <c r="D721" s="5"/>
      <c r="W721" s="8"/>
      <c r="X721" s="10"/>
      <c r="Y721" s="10"/>
      <c r="Z721" s="10"/>
    </row>
    <row r="722" spans="1:26" x14ac:dyDescent="0.25">
      <c r="A722" s="4"/>
      <c r="B722" s="5"/>
      <c r="C722" s="5"/>
      <c r="D722" s="5"/>
      <c r="W722" s="8"/>
      <c r="X722" s="10"/>
      <c r="Y722" s="10"/>
      <c r="Z722" s="10"/>
    </row>
    <row r="723" spans="1:26" x14ac:dyDescent="0.25">
      <c r="A723" s="4"/>
      <c r="B723" s="5"/>
      <c r="C723" s="5"/>
      <c r="D723" s="5"/>
      <c r="W723" s="8"/>
      <c r="X723" s="10"/>
      <c r="Y723" s="10"/>
      <c r="Z723" s="10"/>
    </row>
    <row r="724" spans="1:26" x14ac:dyDescent="0.25">
      <c r="A724" s="4"/>
      <c r="B724" s="5"/>
      <c r="C724" s="5"/>
      <c r="D724" s="5"/>
      <c r="W724" s="8"/>
      <c r="X724" s="10"/>
      <c r="Y724" s="10"/>
      <c r="Z724" s="10"/>
    </row>
    <row r="725" spans="1:26" x14ac:dyDescent="0.25">
      <c r="A725" s="4"/>
      <c r="B725" s="5"/>
      <c r="C725" s="5"/>
      <c r="D725" s="5"/>
      <c r="W725" s="8"/>
      <c r="X725" s="10"/>
      <c r="Y725" s="10"/>
      <c r="Z725" s="10"/>
    </row>
    <row r="726" spans="1:26" x14ac:dyDescent="0.25">
      <c r="A726" s="4"/>
      <c r="B726" s="5"/>
      <c r="C726" s="5"/>
      <c r="D726" s="5"/>
      <c r="W726" s="8"/>
      <c r="X726" s="10"/>
      <c r="Y726" s="10"/>
      <c r="Z726" s="10"/>
    </row>
    <row r="727" spans="1:26" x14ac:dyDescent="0.25">
      <c r="A727" s="4"/>
      <c r="B727" s="5"/>
      <c r="C727" s="5"/>
      <c r="D727" s="5"/>
      <c r="W727" s="8"/>
      <c r="X727" s="10"/>
      <c r="Y727" s="10"/>
      <c r="Z727" s="10"/>
    </row>
    <row r="728" spans="1:26" x14ac:dyDescent="0.25">
      <c r="A728" s="4"/>
      <c r="B728" s="5"/>
      <c r="C728" s="5"/>
      <c r="D728" s="5"/>
      <c r="W728" s="8"/>
      <c r="X728" s="10"/>
      <c r="Y728" s="10"/>
      <c r="Z728" s="10"/>
    </row>
    <row r="729" spans="1:26" x14ac:dyDescent="0.25">
      <c r="A729" s="4"/>
      <c r="B729" s="5"/>
      <c r="C729" s="5"/>
      <c r="D729" s="5"/>
      <c r="W729" s="8"/>
      <c r="X729" s="10"/>
      <c r="Y729" s="10"/>
      <c r="Z729" s="10"/>
    </row>
    <row r="730" spans="1:26" x14ac:dyDescent="0.25">
      <c r="A730" s="4"/>
      <c r="B730" s="5"/>
      <c r="C730" s="5"/>
      <c r="D730" s="5"/>
      <c r="W730" s="8"/>
      <c r="X730" s="10"/>
      <c r="Y730" s="10"/>
      <c r="Z730" s="10"/>
    </row>
    <row r="731" spans="1:26" x14ac:dyDescent="0.25">
      <c r="A731" s="4"/>
      <c r="B731" s="5"/>
      <c r="C731" s="5"/>
      <c r="D731" s="5"/>
      <c r="W731" s="8"/>
      <c r="X731" s="10"/>
      <c r="Y731" s="10"/>
      <c r="Z731" s="10"/>
    </row>
    <row r="732" spans="1:26" x14ac:dyDescent="0.25">
      <c r="A732" s="4"/>
      <c r="B732" s="5"/>
      <c r="C732" s="5"/>
      <c r="D732" s="5"/>
      <c r="W732" s="8"/>
      <c r="X732" s="10"/>
      <c r="Y732" s="10"/>
      <c r="Z732" s="10"/>
    </row>
    <row r="733" spans="1:26" x14ac:dyDescent="0.25">
      <c r="A733" s="4"/>
      <c r="B733" s="5"/>
      <c r="C733" s="5"/>
      <c r="D733" s="5"/>
      <c r="W733" s="8"/>
      <c r="X733" s="10"/>
      <c r="Y733" s="10"/>
      <c r="Z733" s="10"/>
    </row>
    <row r="734" spans="1:26" x14ac:dyDescent="0.25">
      <c r="A734" s="4"/>
      <c r="B734" s="5"/>
      <c r="C734" s="5"/>
      <c r="D734" s="5"/>
      <c r="W734" s="8"/>
      <c r="X734" s="10"/>
      <c r="Y734" s="10"/>
      <c r="Z734" s="10"/>
    </row>
    <row r="735" spans="1:26" x14ac:dyDescent="0.25">
      <c r="A735" s="4"/>
      <c r="B735" s="5"/>
      <c r="C735" s="5"/>
      <c r="D735" s="5"/>
      <c r="W735" s="8"/>
      <c r="X735" s="10"/>
      <c r="Y735" s="10"/>
      <c r="Z735" s="10"/>
    </row>
    <row r="736" spans="1:26" x14ac:dyDescent="0.25">
      <c r="A736" s="4"/>
      <c r="B736" s="5"/>
      <c r="C736" s="5"/>
      <c r="D736" s="5"/>
      <c r="W736" s="8"/>
      <c r="X736" s="10"/>
      <c r="Y736" s="10"/>
      <c r="Z736" s="10"/>
    </row>
    <row r="737" spans="1:26" x14ac:dyDescent="0.25">
      <c r="A737" s="4"/>
      <c r="B737" s="5"/>
      <c r="C737" s="5"/>
      <c r="D737" s="5"/>
      <c r="W737" s="8"/>
      <c r="X737" s="10"/>
      <c r="Y737" s="10"/>
      <c r="Z737" s="10"/>
    </row>
    <row r="738" spans="1:26" x14ac:dyDescent="0.25">
      <c r="A738" s="4"/>
      <c r="B738" s="5"/>
      <c r="C738" s="5"/>
      <c r="D738" s="5"/>
      <c r="W738" s="8"/>
      <c r="X738" s="10"/>
      <c r="Y738" s="10"/>
      <c r="Z738" s="10"/>
    </row>
    <row r="739" spans="1:26" x14ac:dyDescent="0.25">
      <c r="A739" s="4"/>
      <c r="B739" s="5"/>
      <c r="C739" s="5"/>
      <c r="D739" s="5"/>
      <c r="W739" s="8"/>
      <c r="X739" s="10"/>
      <c r="Y739" s="10"/>
      <c r="Z739" s="10"/>
    </row>
    <row r="740" spans="1:26" x14ac:dyDescent="0.25">
      <c r="A740" s="4"/>
      <c r="B740" s="5"/>
      <c r="C740" s="5"/>
      <c r="D740" s="5"/>
      <c r="W740" s="8"/>
      <c r="X740" s="10"/>
      <c r="Y740" s="10"/>
      <c r="Z740" s="10"/>
    </row>
    <row r="741" spans="1:26" x14ac:dyDescent="0.25">
      <c r="A741" s="4"/>
      <c r="B741" s="5"/>
      <c r="C741" s="5"/>
      <c r="D741" s="5"/>
      <c r="W741" s="8"/>
      <c r="X741" s="10"/>
      <c r="Y741" s="10"/>
      <c r="Z741" s="10"/>
    </row>
    <row r="742" spans="1:26" x14ac:dyDescent="0.25">
      <c r="A742" s="4"/>
      <c r="B742" s="5"/>
      <c r="C742" s="5"/>
      <c r="D742" s="5"/>
      <c r="W742" s="8"/>
      <c r="X742" s="10"/>
      <c r="Y742" s="10"/>
      <c r="Z742" s="10"/>
    </row>
    <row r="743" spans="1:26" x14ac:dyDescent="0.25">
      <c r="A743" s="4"/>
      <c r="B743" s="5"/>
      <c r="C743" s="5"/>
      <c r="D743" s="5"/>
      <c r="W743" s="8"/>
      <c r="X743" s="10"/>
      <c r="Y743" s="10"/>
      <c r="Z743" s="10"/>
    </row>
    <row r="744" spans="1:26" x14ac:dyDescent="0.25">
      <c r="A744" s="4"/>
      <c r="B744" s="5"/>
      <c r="C744" s="5"/>
      <c r="D744" s="5"/>
      <c r="W744" s="8"/>
      <c r="X744" s="10"/>
      <c r="Y744" s="10"/>
      <c r="Z744" s="10"/>
    </row>
    <row r="745" spans="1:26" x14ac:dyDescent="0.25">
      <c r="A745" s="4"/>
      <c r="B745" s="5"/>
      <c r="C745" s="5"/>
      <c r="D745" s="5"/>
      <c r="W745" s="8"/>
      <c r="X745" s="10"/>
      <c r="Y745" s="10"/>
      <c r="Z745" s="10"/>
    </row>
    <row r="746" spans="1:26" x14ac:dyDescent="0.25">
      <c r="A746" s="4"/>
      <c r="B746" s="5"/>
      <c r="C746" s="5"/>
      <c r="D746" s="5"/>
      <c r="W746" s="8"/>
      <c r="X746" s="10"/>
      <c r="Y746" s="10"/>
      <c r="Z746" s="10"/>
    </row>
    <row r="747" spans="1:26" x14ac:dyDescent="0.25">
      <c r="A747" s="4"/>
      <c r="B747" s="5"/>
      <c r="C747" s="5"/>
      <c r="D747" s="5"/>
      <c r="W747" s="8"/>
      <c r="X747" s="10"/>
      <c r="Y747" s="10"/>
      <c r="Z747" s="10"/>
    </row>
    <row r="748" spans="1:26" x14ac:dyDescent="0.25">
      <c r="A748" s="4"/>
      <c r="B748" s="5"/>
      <c r="C748" s="5"/>
      <c r="D748" s="5"/>
      <c r="W748" s="8"/>
      <c r="X748" s="10"/>
      <c r="Y748" s="10"/>
      <c r="Z748" s="10"/>
    </row>
    <row r="749" spans="1:26" x14ac:dyDescent="0.25">
      <c r="A749" s="4"/>
      <c r="B749" s="5"/>
      <c r="C749" s="5"/>
      <c r="D749" s="5"/>
      <c r="W749" s="8"/>
      <c r="X749" s="10"/>
      <c r="Y749" s="10"/>
      <c r="Z749" s="10"/>
    </row>
    <row r="750" spans="1:26" x14ac:dyDescent="0.25">
      <c r="A750" s="4"/>
      <c r="B750" s="5"/>
      <c r="C750" s="5"/>
      <c r="D750" s="5"/>
      <c r="W750" s="8"/>
      <c r="X750" s="10"/>
      <c r="Y750" s="10"/>
      <c r="Z750" s="10"/>
    </row>
    <row r="751" spans="1:26" x14ac:dyDescent="0.25">
      <c r="A751" s="4"/>
      <c r="B751" s="5"/>
      <c r="C751" s="5"/>
      <c r="D751" s="5"/>
      <c r="W751" s="8"/>
      <c r="X751" s="10"/>
      <c r="Y751" s="10"/>
      <c r="Z751" s="10"/>
    </row>
    <row r="752" spans="1:26" x14ac:dyDescent="0.25">
      <c r="A752" s="4"/>
      <c r="B752" s="5"/>
      <c r="C752" s="5"/>
      <c r="D752" s="5"/>
      <c r="W752" s="8"/>
      <c r="X752" s="10"/>
      <c r="Y752" s="10"/>
      <c r="Z752" s="10"/>
    </row>
    <row r="753" spans="1:26" x14ac:dyDescent="0.25">
      <c r="A753" s="4"/>
      <c r="B753" s="5"/>
      <c r="C753" s="5"/>
      <c r="D753" s="5"/>
      <c r="W753" s="8"/>
      <c r="X753" s="10"/>
      <c r="Y753" s="10"/>
      <c r="Z753" s="10"/>
    </row>
    <row r="754" spans="1:26" x14ac:dyDescent="0.25">
      <c r="A754" s="4"/>
      <c r="B754" s="5"/>
      <c r="C754" s="5"/>
      <c r="D754" s="5"/>
      <c r="W754" s="8"/>
      <c r="X754" s="10"/>
      <c r="Y754" s="10"/>
      <c r="Z754" s="10"/>
    </row>
    <row r="755" spans="1:26" x14ac:dyDescent="0.25">
      <c r="A755" s="4"/>
      <c r="B755" s="5"/>
      <c r="C755" s="5"/>
      <c r="D755" s="5"/>
      <c r="W755" s="8"/>
      <c r="X755" s="10"/>
      <c r="Y755" s="10"/>
      <c r="Z755" s="10"/>
    </row>
    <row r="756" spans="1:26" x14ac:dyDescent="0.25">
      <c r="A756" s="4"/>
      <c r="B756" s="5"/>
      <c r="C756" s="5"/>
      <c r="D756" s="5"/>
      <c r="W756" s="8"/>
      <c r="X756" s="10"/>
      <c r="Y756" s="10"/>
      <c r="Z756" s="10"/>
    </row>
    <row r="757" spans="1:26" x14ac:dyDescent="0.25">
      <c r="A757" s="4"/>
      <c r="B757" s="5"/>
      <c r="C757" s="5"/>
      <c r="D757" s="5"/>
      <c r="W757" s="8"/>
      <c r="X757" s="10"/>
      <c r="Y757" s="10"/>
      <c r="Z757" s="10"/>
    </row>
    <row r="758" spans="1:26" x14ac:dyDescent="0.25">
      <c r="A758" s="4"/>
      <c r="B758" s="5"/>
      <c r="C758" s="5"/>
      <c r="D758" s="5"/>
      <c r="W758" s="8"/>
      <c r="X758" s="10"/>
      <c r="Y758" s="10"/>
      <c r="Z758" s="10"/>
    </row>
    <row r="759" spans="1:26" x14ac:dyDescent="0.25">
      <c r="A759" s="4"/>
      <c r="B759" s="5"/>
      <c r="C759" s="5"/>
      <c r="D759" s="5"/>
      <c r="W759" s="8"/>
      <c r="X759" s="10"/>
      <c r="Y759" s="10"/>
      <c r="Z759" s="10"/>
    </row>
    <row r="760" spans="1:26" x14ac:dyDescent="0.25">
      <c r="A760" s="4"/>
      <c r="B760" s="5"/>
      <c r="C760" s="5"/>
      <c r="D760" s="5"/>
      <c r="W760" s="8"/>
      <c r="X760" s="10"/>
      <c r="Y760" s="10"/>
      <c r="Z760" s="10"/>
    </row>
    <row r="761" spans="1:26" x14ac:dyDescent="0.25">
      <c r="A761" s="4"/>
      <c r="B761" s="5"/>
      <c r="C761" s="5"/>
      <c r="D761" s="5"/>
      <c r="W761" s="8"/>
      <c r="X761" s="10"/>
      <c r="Y761" s="10"/>
      <c r="Z761" s="10"/>
    </row>
    <row r="762" spans="1:26" x14ac:dyDescent="0.25">
      <c r="A762" s="4"/>
      <c r="B762" s="5"/>
      <c r="C762" s="5"/>
      <c r="D762" s="5"/>
      <c r="W762" s="8"/>
      <c r="X762" s="10"/>
      <c r="Y762" s="10"/>
      <c r="Z762" s="10"/>
    </row>
    <row r="763" spans="1:26" x14ac:dyDescent="0.25">
      <c r="A763" s="4"/>
      <c r="B763" s="5"/>
      <c r="C763" s="5"/>
      <c r="D763" s="5"/>
      <c r="W763" s="8"/>
      <c r="X763" s="10"/>
      <c r="Y763" s="10"/>
      <c r="Z763" s="10"/>
    </row>
    <row r="764" spans="1:26" x14ac:dyDescent="0.25">
      <c r="A764" s="4"/>
      <c r="B764" s="5"/>
      <c r="C764" s="5"/>
      <c r="D764" s="5"/>
      <c r="W764" s="8"/>
      <c r="X764" s="10"/>
      <c r="Y764" s="10"/>
      <c r="Z764" s="10"/>
    </row>
    <row r="765" spans="1:26" x14ac:dyDescent="0.25">
      <c r="A765" s="4"/>
      <c r="B765" s="5"/>
      <c r="C765" s="5"/>
      <c r="D765" s="5"/>
      <c r="W765" s="8"/>
      <c r="X765" s="10"/>
      <c r="Y765" s="10"/>
      <c r="Z765" s="10"/>
    </row>
    <row r="766" spans="1:26" x14ac:dyDescent="0.25">
      <c r="A766" s="4"/>
      <c r="B766" s="5"/>
      <c r="C766" s="5"/>
      <c r="D766" s="5"/>
      <c r="W766" s="8"/>
      <c r="X766" s="10"/>
      <c r="Y766" s="10"/>
      <c r="Z766" s="10"/>
    </row>
    <row r="767" spans="1:26" x14ac:dyDescent="0.25">
      <c r="A767" s="4"/>
      <c r="B767" s="5"/>
      <c r="C767" s="5"/>
      <c r="D767" s="5"/>
      <c r="W767" s="8"/>
      <c r="X767" s="10"/>
      <c r="Y767" s="10"/>
      <c r="Z767" s="10"/>
    </row>
    <row r="768" spans="1:26" x14ac:dyDescent="0.25">
      <c r="A768" s="4"/>
      <c r="B768" s="5"/>
      <c r="C768" s="5"/>
      <c r="D768" s="5"/>
      <c r="W768" s="8"/>
      <c r="X768" s="10"/>
      <c r="Y768" s="10"/>
      <c r="Z768" s="10"/>
    </row>
    <row r="769" spans="1:26" x14ac:dyDescent="0.25">
      <c r="A769" s="4"/>
      <c r="B769" s="5"/>
      <c r="C769" s="5"/>
      <c r="D769" s="5"/>
      <c r="W769" s="8"/>
      <c r="X769" s="10"/>
      <c r="Y769" s="10"/>
      <c r="Z769" s="10"/>
    </row>
    <row r="770" spans="1:26" x14ac:dyDescent="0.25">
      <c r="A770" s="4"/>
      <c r="B770" s="5"/>
      <c r="C770" s="5"/>
      <c r="D770" s="5"/>
      <c r="W770" s="8"/>
      <c r="X770" s="10"/>
      <c r="Y770" s="10"/>
      <c r="Z770" s="10"/>
    </row>
    <row r="771" spans="1:26" x14ac:dyDescent="0.25">
      <c r="A771" s="4"/>
      <c r="B771" s="5"/>
      <c r="C771" s="5"/>
      <c r="D771" s="5"/>
      <c r="W771" s="8"/>
      <c r="X771" s="10"/>
      <c r="Y771" s="10"/>
      <c r="Z771" s="10"/>
    </row>
    <row r="772" spans="1:26" x14ac:dyDescent="0.25">
      <c r="A772" s="4"/>
      <c r="B772" s="5"/>
      <c r="C772" s="5"/>
      <c r="D772" s="5"/>
      <c r="W772" s="8"/>
      <c r="X772" s="10"/>
      <c r="Y772" s="10"/>
      <c r="Z772" s="10"/>
    </row>
    <row r="773" spans="1:26" x14ac:dyDescent="0.25">
      <c r="A773" s="4"/>
      <c r="B773" s="5"/>
      <c r="C773" s="5"/>
      <c r="D773" s="5"/>
      <c r="W773" s="8"/>
      <c r="X773" s="10"/>
      <c r="Y773" s="10"/>
      <c r="Z773" s="10"/>
    </row>
    <row r="774" spans="1:26" x14ac:dyDescent="0.25">
      <c r="A774" s="4"/>
      <c r="B774" s="5"/>
      <c r="C774" s="5"/>
      <c r="D774" s="5"/>
      <c r="W774" s="8"/>
      <c r="X774" s="10"/>
      <c r="Y774" s="10"/>
      <c r="Z774" s="10"/>
    </row>
    <row r="775" spans="1:26" x14ac:dyDescent="0.25">
      <c r="A775" s="4"/>
      <c r="B775" s="5"/>
      <c r="C775" s="5"/>
      <c r="D775" s="5"/>
      <c r="W775" s="8"/>
      <c r="X775" s="10"/>
      <c r="Y775" s="10"/>
      <c r="Z775" s="10"/>
    </row>
    <row r="776" spans="1:26" x14ac:dyDescent="0.25">
      <c r="A776" s="4"/>
      <c r="B776" s="5"/>
      <c r="C776" s="5"/>
      <c r="D776" s="5"/>
      <c r="W776" s="8"/>
      <c r="X776" s="10"/>
      <c r="Y776" s="10"/>
      <c r="Z776" s="10"/>
    </row>
    <row r="777" spans="1:26" x14ac:dyDescent="0.25">
      <c r="A777" s="4"/>
      <c r="B777" s="5"/>
      <c r="C777" s="5"/>
      <c r="D777" s="5"/>
      <c r="W777" s="8"/>
      <c r="X777" s="10"/>
      <c r="Y777" s="10"/>
      <c r="Z777" s="10"/>
    </row>
    <row r="778" spans="1:26" x14ac:dyDescent="0.25">
      <c r="A778" s="4"/>
      <c r="B778" s="5"/>
      <c r="C778" s="5"/>
      <c r="D778" s="5"/>
      <c r="W778" s="8"/>
      <c r="X778" s="10"/>
      <c r="Y778" s="10"/>
      <c r="Z778" s="10"/>
    </row>
    <row r="779" spans="1:26" x14ac:dyDescent="0.25">
      <c r="A779" s="4"/>
      <c r="B779" s="5"/>
      <c r="C779" s="5"/>
      <c r="D779" s="5"/>
      <c r="W779" s="8"/>
      <c r="X779" s="10"/>
      <c r="Y779" s="10"/>
      <c r="Z779" s="10"/>
    </row>
    <row r="780" spans="1:26" x14ac:dyDescent="0.25">
      <c r="A780" s="4"/>
      <c r="B780" s="5"/>
      <c r="C780" s="5"/>
      <c r="D780" s="5"/>
      <c r="W780" s="8"/>
      <c r="X780" s="10"/>
      <c r="Y780" s="10"/>
      <c r="Z780" s="10"/>
    </row>
    <row r="781" spans="1:26" x14ac:dyDescent="0.25">
      <c r="A781" s="4"/>
      <c r="B781" s="5"/>
      <c r="C781" s="5"/>
      <c r="D781" s="5"/>
      <c r="W781" s="8"/>
      <c r="X781" s="10"/>
      <c r="Y781" s="10"/>
      <c r="Z781" s="10"/>
    </row>
    <row r="782" spans="1:26" x14ac:dyDescent="0.25">
      <c r="A782" s="4"/>
      <c r="B782" s="5"/>
      <c r="C782" s="5"/>
      <c r="D782" s="5"/>
      <c r="W782" s="8"/>
      <c r="X782" s="10"/>
      <c r="Y782" s="10"/>
      <c r="Z782" s="10"/>
    </row>
    <row r="783" spans="1:26" x14ac:dyDescent="0.25">
      <c r="A783" s="4"/>
      <c r="B783" s="5"/>
      <c r="C783" s="5"/>
      <c r="D783" s="5"/>
      <c r="W783" s="8"/>
      <c r="X783" s="10"/>
      <c r="Y783" s="10"/>
      <c r="Z783" s="10"/>
    </row>
    <row r="784" spans="1:26" x14ac:dyDescent="0.25">
      <c r="A784" s="4"/>
      <c r="B784" s="5"/>
      <c r="C784" s="5"/>
      <c r="D784" s="5"/>
      <c r="W784" s="8"/>
      <c r="X784" s="10"/>
      <c r="Y784" s="10"/>
      <c r="Z784" s="10"/>
    </row>
    <row r="785" spans="1:26" x14ac:dyDescent="0.25">
      <c r="A785" s="4"/>
      <c r="B785" s="5"/>
      <c r="C785" s="5"/>
      <c r="D785" s="5"/>
      <c r="W785" s="8"/>
      <c r="X785" s="10"/>
      <c r="Y785" s="10"/>
      <c r="Z785" s="10"/>
    </row>
    <row r="786" spans="1:26" x14ac:dyDescent="0.25">
      <c r="A786" s="4"/>
      <c r="B786" s="5"/>
      <c r="C786" s="5"/>
      <c r="D786" s="5"/>
      <c r="W786" s="8"/>
      <c r="X786" s="10"/>
      <c r="Y786" s="10"/>
      <c r="Z786" s="10"/>
    </row>
    <row r="787" spans="1:26" x14ac:dyDescent="0.25">
      <c r="A787" s="4"/>
      <c r="B787" s="5"/>
      <c r="C787" s="5"/>
      <c r="D787" s="5"/>
      <c r="W787" s="8"/>
      <c r="X787" s="10"/>
      <c r="Y787" s="10"/>
      <c r="Z787" s="10"/>
    </row>
    <row r="788" spans="1:26" x14ac:dyDescent="0.25">
      <c r="A788" s="4"/>
      <c r="B788" s="5"/>
      <c r="C788" s="5"/>
      <c r="D788" s="5"/>
      <c r="W788" s="8"/>
      <c r="X788" s="10"/>
      <c r="Y788" s="10"/>
      <c r="Z788" s="10"/>
    </row>
    <row r="789" spans="1:26" x14ac:dyDescent="0.25">
      <c r="A789" s="4"/>
      <c r="B789" s="5"/>
      <c r="C789" s="5"/>
      <c r="D789" s="5"/>
      <c r="W789" s="8"/>
      <c r="X789" s="10"/>
      <c r="Y789" s="10"/>
      <c r="Z789" s="10"/>
    </row>
    <row r="790" spans="1:26" x14ac:dyDescent="0.25">
      <c r="A790" s="4"/>
      <c r="B790" s="5"/>
      <c r="C790" s="5"/>
      <c r="D790" s="5"/>
      <c r="W790" s="8"/>
      <c r="X790" s="10"/>
      <c r="Y790" s="10"/>
      <c r="Z790" s="10"/>
    </row>
    <row r="791" spans="1:26" x14ac:dyDescent="0.25">
      <c r="A791" s="4"/>
      <c r="B791" s="5"/>
      <c r="C791" s="5"/>
      <c r="D791" s="5"/>
      <c r="W791" s="8"/>
      <c r="X791" s="10"/>
      <c r="Y791" s="10"/>
      <c r="Z791" s="10"/>
    </row>
    <row r="792" spans="1:26" x14ac:dyDescent="0.25">
      <c r="A792" s="4"/>
      <c r="B792" s="5"/>
      <c r="C792" s="5"/>
      <c r="D792" s="5"/>
      <c r="W792" s="8"/>
      <c r="X792" s="10"/>
      <c r="Y792" s="10"/>
      <c r="Z792" s="10"/>
    </row>
    <row r="793" spans="1:26" x14ac:dyDescent="0.25">
      <c r="A793" s="4"/>
      <c r="B793" s="5"/>
      <c r="C793" s="5"/>
      <c r="D793" s="5"/>
      <c r="W793" s="8"/>
      <c r="X793" s="10"/>
      <c r="Y793" s="10"/>
      <c r="Z793" s="10"/>
    </row>
    <row r="794" spans="1:26" x14ac:dyDescent="0.25">
      <c r="A794" s="4"/>
      <c r="B794" s="5"/>
      <c r="C794" s="5"/>
      <c r="D794" s="5"/>
      <c r="W794" s="8"/>
      <c r="X794" s="10"/>
      <c r="Y794" s="10"/>
      <c r="Z794" s="10"/>
    </row>
    <row r="795" spans="1:26" x14ac:dyDescent="0.25">
      <c r="A795" s="4"/>
      <c r="B795" s="5"/>
      <c r="C795" s="5"/>
      <c r="D795" s="5"/>
      <c r="W795" s="8"/>
      <c r="X795" s="10"/>
      <c r="Y795" s="10"/>
      <c r="Z795" s="10"/>
    </row>
    <row r="796" spans="1:26" x14ac:dyDescent="0.25">
      <c r="A796" s="4"/>
      <c r="B796" s="5"/>
      <c r="C796" s="5"/>
      <c r="D796" s="5"/>
      <c r="W796" s="8"/>
      <c r="X796" s="10"/>
      <c r="Y796" s="10"/>
      <c r="Z796" s="10"/>
    </row>
    <row r="797" spans="1:26" x14ac:dyDescent="0.25">
      <c r="A797" s="4"/>
      <c r="B797" s="5"/>
      <c r="C797" s="5"/>
      <c r="D797" s="5"/>
      <c r="W797" s="8"/>
      <c r="X797" s="10"/>
      <c r="Y797" s="10"/>
      <c r="Z797" s="10"/>
    </row>
    <row r="798" spans="1:26" x14ac:dyDescent="0.25">
      <c r="A798" s="4"/>
      <c r="B798" s="5"/>
      <c r="C798" s="5"/>
      <c r="D798" s="5"/>
      <c r="W798" s="8"/>
      <c r="X798" s="10"/>
      <c r="Y798" s="10"/>
      <c r="Z798" s="10"/>
    </row>
    <row r="799" spans="1:26" x14ac:dyDescent="0.25">
      <c r="A799" s="4"/>
      <c r="B799" s="5"/>
      <c r="C799" s="5"/>
      <c r="D799" s="5"/>
      <c r="W799" s="8"/>
      <c r="X799" s="10"/>
      <c r="Y799" s="10"/>
      <c r="Z799" s="10"/>
    </row>
    <row r="800" spans="1:26" x14ac:dyDescent="0.25">
      <c r="A800" s="4"/>
      <c r="B800" s="5"/>
      <c r="C800" s="5"/>
      <c r="D800" s="5"/>
      <c r="W800" s="8"/>
      <c r="X800" s="10"/>
      <c r="Y800" s="10"/>
      <c r="Z800" s="10"/>
    </row>
    <row r="801" spans="1:26" x14ac:dyDescent="0.25">
      <c r="A801" s="4"/>
      <c r="B801" s="5"/>
      <c r="C801" s="5"/>
      <c r="D801" s="5"/>
      <c r="W801" s="8"/>
      <c r="X801" s="10"/>
      <c r="Y801" s="10"/>
      <c r="Z801" s="10"/>
    </row>
    <row r="802" spans="1:26" x14ac:dyDescent="0.25">
      <c r="A802" s="4"/>
      <c r="B802" s="5"/>
      <c r="C802" s="5"/>
      <c r="D802" s="5"/>
      <c r="W802" s="8"/>
      <c r="X802" s="10"/>
      <c r="Y802" s="10"/>
      <c r="Z802" s="10"/>
    </row>
    <row r="803" spans="1:26" x14ac:dyDescent="0.25">
      <c r="A803" s="4"/>
      <c r="B803" s="5"/>
      <c r="C803" s="5"/>
      <c r="D803" s="5"/>
      <c r="W803" s="8"/>
      <c r="X803" s="10"/>
      <c r="Y803" s="10"/>
      <c r="Z803" s="10"/>
    </row>
    <row r="804" spans="1:26" x14ac:dyDescent="0.25">
      <c r="A804" s="4"/>
      <c r="B804" s="5"/>
      <c r="C804" s="5"/>
      <c r="D804" s="5"/>
      <c r="W804" s="8"/>
      <c r="X804" s="10"/>
      <c r="Y804" s="10"/>
      <c r="Z804" s="10"/>
    </row>
    <row r="805" spans="1:26" x14ac:dyDescent="0.25">
      <c r="A805" s="4"/>
      <c r="B805" s="5"/>
      <c r="C805" s="5"/>
      <c r="D805" s="5"/>
      <c r="W805" s="8"/>
      <c r="X805" s="10"/>
      <c r="Y805" s="10"/>
      <c r="Z805" s="10"/>
    </row>
    <row r="806" spans="1:26" x14ac:dyDescent="0.25">
      <c r="A806" s="4"/>
      <c r="B806" s="5"/>
      <c r="C806" s="5"/>
      <c r="D806" s="5"/>
      <c r="W806" s="8"/>
      <c r="X806" s="10"/>
      <c r="Y806" s="10"/>
      <c r="Z806" s="10"/>
    </row>
    <row r="807" spans="1:26" x14ac:dyDescent="0.25">
      <c r="A807" s="4"/>
      <c r="B807" s="5"/>
      <c r="C807" s="5"/>
      <c r="D807" s="5"/>
      <c r="W807" s="8"/>
      <c r="X807" s="10"/>
      <c r="Y807" s="10"/>
      <c r="Z807" s="10"/>
    </row>
    <row r="808" spans="1:26" x14ac:dyDescent="0.25">
      <c r="A808" s="4"/>
      <c r="B808" s="5"/>
      <c r="C808" s="5"/>
      <c r="D808" s="5"/>
      <c r="W808" s="8"/>
      <c r="X808" s="10"/>
      <c r="Y808" s="10"/>
      <c r="Z808" s="10"/>
    </row>
    <row r="809" spans="1:26" x14ac:dyDescent="0.25">
      <c r="A809" s="4"/>
      <c r="B809" s="5"/>
      <c r="C809" s="5"/>
      <c r="D809" s="5"/>
      <c r="W809" s="8"/>
      <c r="X809" s="10"/>
      <c r="Y809" s="10"/>
      <c r="Z809" s="10"/>
    </row>
    <row r="810" spans="1:26" x14ac:dyDescent="0.25">
      <c r="A810" s="4"/>
      <c r="B810" s="5"/>
      <c r="C810" s="5"/>
      <c r="D810" s="5"/>
      <c r="W810" s="8"/>
      <c r="X810" s="10"/>
      <c r="Y810" s="10"/>
      <c r="Z810" s="10"/>
    </row>
    <row r="811" spans="1:26" x14ac:dyDescent="0.25">
      <c r="A811" s="4"/>
      <c r="B811" s="5"/>
      <c r="C811" s="5"/>
      <c r="D811" s="5"/>
      <c r="W811" s="8"/>
      <c r="X811" s="10"/>
      <c r="Y811" s="10"/>
      <c r="Z811" s="10"/>
    </row>
    <row r="812" spans="1:26" x14ac:dyDescent="0.25">
      <c r="A812" s="4"/>
      <c r="B812" s="5"/>
      <c r="C812" s="5"/>
      <c r="D812" s="5"/>
      <c r="W812" s="8"/>
      <c r="X812" s="10"/>
      <c r="Y812" s="10"/>
      <c r="Z812" s="10"/>
    </row>
    <row r="813" spans="1:26" x14ac:dyDescent="0.25">
      <c r="A813" s="4"/>
      <c r="B813" s="5"/>
      <c r="C813" s="5"/>
      <c r="D813" s="5"/>
      <c r="W813" s="8"/>
      <c r="X813" s="10"/>
      <c r="Y813" s="10"/>
      <c r="Z813" s="10"/>
    </row>
    <row r="814" spans="1:26" x14ac:dyDescent="0.25">
      <c r="A814" s="4"/>
      <c r="B814" s="5"/>
      <c r="C814" s="5"/>
      <c r="D814" s="5"/>
      <c r="W814" s="8"/>
      <c r="X814" s="10"/>
      <c r="Y814" s="10"/>
      <c r="Z814" s="10"/>
    </row>
    <row r="815" spans="1:26" x14ac:dyDescent="0.25">
      <c r="A815" s="4"/>
      <c r="B815" s="5"/>
      <c r="C815" s="5"/>
      <c r="D815" s="5"/>
      <c r="W815" s="8"/>
      <c r="X815" s="10"/>
      <c r="Y815" s="10"/>
      <c r="Z815" s="10"/>
    </row>
    <row r="816" spans="1:26" x14ac:dyDescent="0.25">
      <c r="A816" s="4"/>
      <c r="B816" s="5"/>
      <c r="C816" s="5"/>
      <c r="D816" s="5"/>
      <c r="W816" s="8"/>
      <c r="X816" s="10"/>
      <c r="Y816" s="10"/>
      <c r="Z816" s="10"/>
    </row>
    <row r="817" spans="1:26" x14ac:dyDescent="0.25">
      <c r="A817" s="4"/>
      <c r="B817" s="5"/>
      <c r="C817" s="5"/>
      <c r="D817" s="5"/>
      <c r="W817" s="8"/>
      <c r="X817" s="10"/>
      <c r="Y817" s="10"/>
      <c r="Z817" s="10"/>
    </row>
    <row r="818" spans="1:26" x14ac:dyDescent="0.25">
      <c r="A818" s="4"/>
      <c r="B818" s="5"/>
      <c r="C818" s="5"/>
      <c r="D818" s="5"/>
      <c r="W818" s="8"/>
      <c r="X818" s="10"/>
      <c r="Y818" s="10"/>
      <c r="Z818" s="10"/>
    </row>
    <row r="819" spans="1:26" x14ac:dyDescent="0.25">
      <c r="A819" s="4"/>
      <c r="B819" s="5"/>
      <c r="C819" s="5"/>
      <c r="D819" s="5"/>
      <c r="W819" s="8"/>
      <c r="X819" s="10"/>
      <c r="Y819" s="10"/>
      <c r="Z819" s="10"/>
    </row>
    <row r="820" spans="1:26" x14ac:dyDescent="0.25">
      <c r="A820" s="4"/>
      <c r="B820" s="5"/>
      <c r="C820" s="5"/>
      <c r="D820" s="5"/>
      <c r="W820" s="8"/>
      <c r="X820" s="10"/>
      <c r="Y820" s="10"/>
      <c r="Z820" s="10"/>
    </row>
    <row r="821" spans="1:26" x14ac:dyDescent="0.25">
      <c r="A821" s="4"/>
      <c r="B821" s="5"/>
      <c r="C821" s="5"/>
      <c r="D821" s="5"/>
      <c r="W821" s="8"/>
      <c r="X821" s="10"/>
      <c r="Y821" s="10"/>
      <c r="Z821" s="10"/>
    </row>
    <row r="822" spans="1:26" x14ac:dyDescent="0.25">
      <c r="A822" s="4"/>
      <c r="B822" s="5"/>
      <c r="C822" s="5"/>
      <c r="D822" s="5"/>
      <c r="W822" s="8"/>
      <c r="X822" s="10"/>
      <c r="Y822" s="10"/>
      <c r="Z822" s="10"/>
    </row>
    <row r="823" spans="1:26" x14ac:dyDescent="0.25">
      <c r="A823" s="4"/>
      <c r="B823" s="5"/>
      <c r="C823" s="5"/>
      <c r="D823" s="5"/>
      <c r="W823" s="8"/>
      <c r="X823" s="10"/>
      <c r="Y823" s="10"/>
      <c r="Z823" s="10"/>
    </row>
    <row r="824" spans="1:26" x14ac:dyDescent="0.25">
      <c r="A824" s="4"/>
      <c r="B824" s="5"/>
      <c r="C824" s="5"/>
      <c r="D824" s="5"/>
      <c r="W824" s="8"/>
      <c r="X824" s="10"/>
      <c r="Y824" s="10"/>
      <c r="Z824" s="10"/>
    </row>
    <row r="825" spans="1:26" x14ac:dyDescent="0.25">
      <c r="A825" s="4"/>
      <c r="B825" s="5"/>
      <c r="C825" s="5"/>
      <c r="D825" s="5"/>
      <c r="W825" s="8"/>
      <c r="X825" s="10"/>
      <c r="Y825" s="10"/>
      <c r="Z825" s="10"/>
    </row>
    <row r="826" spans="1:26" x14ac:dyDescent="0.25">
      <c r="A826" s="4"/>
      <c r="B826" s="5"/>
      <c r="C826" s="5"/>
      <c r="D826" s="5"/>
      <c r="W826" s="8"/>
      <c r="X826" s="10"/>
      <c r="Y826" s="10"/>
      <c r="Z826" s="10"/>
    </row>
    <row r="827" spans="1:26" x14ac:dyDescent="0.25">
      <c r="A827" s="4"/>
      <c r="B827" s="5"/>
      <c r="C827" s="5"/>
      <c r="D827" s="5"/>
      <c r="W827" s="8"/>
      <c r="X827" s="10"/>
      <c r="Y827" s="10"/>
      <c r="Z827" s="10"/>
    </row>
    <row r="828" spans="1:26" x14ac:dyDescent="0.25">
      <c r="A828" s="4"/>
      <c r="B828" s="5"/>
      <c r="C828" s="5"/>
      <c r="D828" s="5"/>
      <c r="W828" s="8"/>
      <c r="X828" s="10"/>
      <c r="Y828" s="10"/>
      <c r="Z828" s="10"/>
    </row>
    <row r="829" spans="1:26" x14ac:dyDescent="0.25">
      <c r="A829" s="4"/>
      <c r="B829" s="5"/>
      <c r="C829" s="5"/>
      <c r="D829" s="5"/>
      <c r="W829" s="8"/>
      <c r="X829" s="10"/>
      <c r="Y829" s="10"/>
      <c r="Z829" s="10"/>
    </row>
    <row r="830" spans="1:26" x14ac:dyDescent="0.25">
      <c r="A830" s="4"/>
      <c r="B830" s="5"/>
      <c r="C830" s="5"/>
      <c r="D830" s="5"/>
      <c r="W830" s="8"/>
      <c r="X830" s="10"/>
      <c r="Y830" s="10"/>
      <c r="Z830" s="10"/>
    </row>
    <row r="831" spans="1:26" x14ac:dyDescent="0.25">
      <c r="A831" s="4"/>
      <c r="B831" s="5"/>
      <c r="C831" s="5"/>
      <c r="D831" s="5"/>
      <c r="W831" s="8"/>
      <c r="X831" s="10"/>
      <c r="Y831" s="10"/>
      <c r="Z831" s="10"/>
    </row>
    <row r="832" spans="1:26" x14ac:dyDescent="0.25">
      <c r="A832" s="4"/>
      <c r="B832" s="5"/>
      <c r="C832" s="5"/>
      <c r="D832" s="5"/>
      <c r="W832" s="8"/>
      <c r="X832" s="10"/>
      <c r="Y832" s="10"/>
      <c r="Z832" s="10"/>
    </row>
    <row r="833" spans="1:26" x14ac:dyDescent="0.25">
      <c r="A833" s="4"/>
      <c r="B833" s="5"/>
      <c r="C833" s="5"/>
      <c r="D833" s="5"/>
      <c r="W833" s="8"/>
      <c r="X833" s="10"/>
      <c r="Y833" s="10"/>
      <c r="Z833" s="10"/>
    </row>
    <row r="834" spans="1:26" x14ac:dyDescent="0.25">
      <c r="A834" s="4"/>
      <c r="B834" s="5"/>
      <c r="C834" s="5"/>
      <c r="D834" s="5"/>
      <c r="W834" s="8"/>
      <c r="X834" s="10"/>
      <c r="Y834" s="10"/>
      <c r="Z834" s="10"/>
    </row>
    <row r="835" spans="1:26" x14ac:dyDescent="0.25">
      <c r="A835" s="4"/>
      <c r="B835" s="5"/>
      <c r="C835" s="5"/>
      <c r="D835" s="5"/>
      <c r="W835" s="8"/>
      <c r="X835" s="10"/>
      <c r="Y835" s="10"/>
      <c r="Z835" s="10"/>
    </row>
    <row r="836" spans="1:26" x14ac:dyDescent="0.25">
      <c r="A836" s="4"/>
      <c r="B836" s="5"/>
      <c r="C836" s="5"/>
      <c r="D836" s="5"/>
      <c r="W836" s="8"/>
      <c r="X836" s="10"/>
      <c r="Y836" s="10"/>
      <c r="Z836" s="10"/>
    </row>
    <row r="837" spans="1:26" x14ac:dyDescent="0.25">
      <c r="A837" s="4"/>
      <c r="B837" s="5"/>
      <c r="C837" s="5"/>
      <c r="D837" s="5"/>
      <c r="W837" s="8"/>
      <c r="X837" s="10"/>
      <c r="Y837" s="10"/>
      <c r="Z837" s="10"/>
    </row>
    <row r="838" spans="1:26" x14ac:dyDescent="0.25">
      <c r="A838" s="4"/>
      <c r="B838" s="5"/>
      <c r="C838" s="5"/>
      <c r="D838" s="5"/>
      <c r="W838" s="8"/>
      <c r="X838" s="10"/>
      <c r="Y838" s="10"/>
      <c r="Z838" s="10"/>
    </row>
    <row r="839" spans="1:26" x14ac:dyDescent="0.25">
      <c r="A839" s="4"/>
      <c r="B839" s="5"/>
      <c r="C839" s="5"/>
      <c r="D839" s="5"/>
      <c r="W839" s="8"/>
      <c r="X839" s="10"/>
      <c r="Y839" s="10"/>
      <c r="Z839" s="10"/>
    </row>
    <row r="840" spans="1:26" x14ac:dyDescent="0.25">
      <c r="A840" s="4"/>
      <c r="B840" s="5"/>
      <c r="C840" s="5"/>
      <c r="D840" s="5"/>
      <c r="W840" s="8"/>
      <c r="X840" s="10"/>
      <c r="Y840" s="10"/>
      <c r="Z840" s="10"/>
    </row>
    <row r="841" spans="1:26" x14ac:dyDescent="0.25">
      <c r="A841" s="4"/>
      <c r="B841" s="5"/>
      <c r="C841" s="5"/>
      <c r="D841" s="5"/>
      <c r="W841" s="8"/>
      <c r="X841" s="10"/>
      <c r="Y841" s="10"/>
      <c r="Z841" s="10"/>
    </row>
    <row r="842" spans="1:26" x14ac:dyDescent="0.25">
      <c r="A842" s="4"/>
      <c r="B842" s="5"/>
      <c r="C842" s="5"/>
      <c r="D842" s="5"/>
      <c r="W842" s="8"/>
      <c r="X842" s="10"/>
      <c r="Y842" s="10"/>
      <c r="Z842" s="10"/>
    </row>
    <row r="843" spans="1:26" x14ac:dyDescent="0.25">
      <c r="A843" s="4"/>
      <c r="B843" s="5"/>
      <c r="C843" s="5"/>
      <c r="D843" s="5"/>
      <c r="W843" s="8"/>
      <c r="X843" s="10"/>
      <c r="Y843" s="10"/>
      <c r="Z843" s="10"/>
    </row>
    <row r="844" spans="1:26" x14ac:dyDescent="0.25">
      <c r="A844" s="4"/>
      <c r="B844" s="5"/>
      <c r="C844" s="5"/>
      <c r="D844" s="5"/>
      <c r="W844" s="8"/>
      <c r="X844" s="10"/>
      <c r="Y844" s="10"/>
      <c r="Z844" s="10"/>
    </row>
    <row r="845" spans="1:26" x14ac:dyDescent="0.25">
      <c r="A845" s="4"/>
      <c r="B845" s="5"/>
      <c r="C845" s="5"/>
      <c r="D845" s="5"/>
      <c r="W845" s="8"/>
      <c r="X845" s="10"/>
      <c r="Y845" s="10"/>
      <c r="Z845" s="10"/>
    </row>
    <row r="846" spans="1:26" x14ac:dyDescent="0.25">
      <c r="A846" s="4"/>
      <c r="B846" s="5"/>
      <c r="C846" s="5"/>
      <c r="D846" s="5"/>
      <c r="W846" s="8"/>
      <c r="X846" s="10"/>
      <c r="Y846" s="10"/>
      <c r="Z846" s="10"/>
    </row>
    <row r="847" spans="1:26" x14ac:dyDescent="0.25">
      <c r="A847" s="4"/>
      <c r="B847" s="5"/>
      <c r="C847" s="5"/>
      <c r="D847" s="5"/>
      <c r="W847" s="8"/>
      <c r="X847" s="10"/>
      <c r="Y847" s="10"/>
      <c r="Z847" s="10"/>
    </row>
    <row r="848" spans="1:26" x14ac:dyDescent="0.25">
      <c r="A848" s="4"/>
      <c r="B848" s="5"/>
      <c r="C848" s="5"/>
      <c r="D848" s="5"/>
      <c r="W848" s="8"/>
      <c r="X848" s="10"/>
      <c r="Y848" s="10"/>
      <c r="Z848" s="10"/>
    </row>
    <row r="849" spans="1:26" x14ac:dyDescent="0.25">
      <c r="A849" s="4"/>
      <c r="B849" s="5"/>
      <c r="C849" s="5"/>
      <c r="D849" s="5"/>
      <c r="W849" s="8"/>
      <c r="X849" s="10"/>
      <c r="Y849" s="10"/>
      <c r="Z849" s="10"/>
    </row>
    <row r="850" spans="1:26" x14ac:dyDescent="0.25">
      <c r="A850" s="4"/>
      <c r="B850" s="5"/>
      <c r="C850" s="5"/>
      <c r="D850" s="5"/>
      <c r="W850" s="8"/>
      <c r="X850" s="10"/>
      <c r="Y850" s="10"/>
      <c r="Z850" s="10"/>
    </row>
    <row r="851" spans="1:26" x14ac:dyDescent="0.25">
      <c r="A851" s="4"/>
      <c r="B851" s="5"/>
      <c r="C851" s="5"/>
      <c r="D851" s="5"/>
      <c r="W851" s="8"/>
      <c r="X851" s="10"/>
      <c r="Y851" s="10"/>
      <c r="Z851" s="10"/>
    </row>
    <row r="852" spans="1:26" x14ac:dyDescent="0.25">
      <c r="A852" s="4"/>
      <c r="B852" s="5"/>
      <c r="C852" s="5"/>
      <c r="D852" s="5"/>
      <c r="W852" s="8"/>
      <c r="X852" s="10"/>
      <c r="Y852" s="10"/>
      <c r="Z852" s="10"/>
    </row>
    <row r="853" spans="1:26" x14ac:dyDescent="0.25">
      <c r="A853" s="4"/>
      <c r="B853" s="5"/>
      <c r="C853" s="5"/>
      <c r="D853" s="5"/>
      <c r="W853" s="8"/>
      <c r="X853" s="10"/>
      <c r="Y853" s="10"/>
      <c r="Z853" s="10"/>
    </row>
    <row r="854" spans="1:26" x14ac:dyDescent="0.25">
      <c r="A854" s="4"/>
      <c r="B854" s="5"/>
      <c r="C854" s="5"/>
      <c r="D854" s="5"/>
      <c r="W854" s="8"/>
      <c r="X854" s="10"/>
      <c r="Y854" s="10"/>
      <c r="Z854" s="10"/>
    </row>
    <row r="855" spans="1:26" x14ac:dyDescent="0.25">
      <c r="A855" s="4"/>
      <c r="B855" s="5"/>
      <c r="C855" s="5"/>
      <c r="D855" s="5"/>
      <c r="W855" s="8"/>
      <c r="X855" s="10"/>
      <c r="Y855" s="10"/>
      <c r="Z855" s="10"/>
    </row>
    <row r="856" spans="1:26" x14ac:dyDescent="0.25">
      <c r="A856" s="4"/>
      <c r="B856" s="5"/>
      <c r="C856" s="5"/>
      <c r="D856" s="5"/>
      <c r="W856" s="8"/>
      <c r="X856" s="10"/>
      <c r="Y856" s="10"/>
      <c r="Z856" s="10"/>
    </row>
    <row r="857" spans="1:26" x14ac:dyDescent="0.25">
      <c r="A857" s="4"/>
      <c r="B857" s="5"/>
      <c r="C857" s="5"/>
      <c r="D857" s="5"/>
      <c r="W857" s="8"/>
      <c r="X857" s="10"/>
      <c r="Y857" s="10"/>
      <c r="Z857" s="10"/>
    </row>
    <row r="858" spans="1:26" x14ac:dyDescent="0.25">
      <c r="A858" s="4"/>
      <c r="B858" s="5"/>
      <c r="C858" s="5"/>
      <c r="D858" s="5"/>
      <c r="W858" s="8"/>
      <c r="X858" s="10"/>
      <c r="Y858" s="10"/>
      <c r="Z858" s="10"/>
    </row>
    <row r="859" spans="1:26" x14ac:dyDescent="0.25">
      <c r="A859" s="4"/>
      <c r="B859" s="5"/>
      <c r="C859" s="5"/>
      <c r="D859" s="5"/>
      <c r="W859" s="8"/>
      <c r="X859" s="10"/>
      <c r="Y859" s="10"/>
      <c r="Z859" s="10"/>
    </row>
    <row r="860" spans="1:26" x14ac:dyDescent="0.25">
      <c r="A860" s="4"/>
      <c r="B860" s="5"/>
      <c r="C860" s="5"/>
      <c r="D860" s="5"/>
      <c r="W860" s="8"/>
      <c r="X860" s="10"/>
      <c r="Y860" s="10"/>
      <c r="Z860" s="10"/>
    </row>
    <row r="861" spans="1:26" x14ac:dyDescent="0.25">
      <c r="A861" s="4"/>
      <c r="B861" s="5"/>
      <c r="C861" s="5"/>
      <c r="D861" s="5"/>
      <c r="W861" s="8"/>
      <c r="X861" s="10"/>
      <c r="Y861" s="10"/>
      <c r="Z861" s="10"/>
    </row>
    <row r="862" spans="1:26" x14ac:dyDescent="0.25">
      <c r="A862" s="4"/>
      <c r="B862" s="5"/>
      <c r="C862" s="5"/>
      <c r="D862" s="5"/>
      <c r="W862" s="8"/>
      <c r="X862" s="10"/>
      <c r="Y862" s="10"/>
      <c r="Z862" s="10"/>
    </row>
    <row r="863" spans="1:26" x14ac:dyDescent="0.25">
      <c r="A863" s="4"/>
      <c r="B863" s="5"/>
      <c r="C863" s="5"/>
      <c r="D863" s="5"/>
      <c r="W863" s="8"/>
      <c r="X863" s="10"/>
      <c r="Y863" s="10"/>
      <c r="Z863" s="10"/>
    </row>
    <row r="864" spans="1:26" x14ac:dyDescent="0.25">
      <c r="A864" s="4"/>
      <c r="B864" s="5"/>
      <c r="C864" s="5"/>
      <c r="D864" s="5"/>
      <c r="W864" s="8"/>
      <c r="X864" s="10"/>
      <c r="Y864" s="10"/>
      <c r="Z864" s="10"/>
    </row>
    <row r="865" spans="1:26" x14ac:dyDescent="0.25">
      <c r="A865" s="4"/>
      <c r="B865" s="5"/>
      <c r="C865" s="5"/>
      <c r="D865" s="5"/>
      <c r="W865" s="8"/>
      <c r="X865" s="10"/>
      <c r="Y865" s="10"/>
      <c r="Z865" s="10"/>
    </row>
    <row r="866" spans="1:26" x14ac:dyDescent="0.25">
      <c r="A866" s="4"/>
      <c r="B866" s="5"/>
      <c r="C866" s="5"/>
      <c r="D866" s="5"/>
      <c r="W866" s="8"/>
      <c r="X866" s="10"/>
      <c r="Y866" s="10"/>
      <c r="Z866" s="10"/>
    </row>
    <row r="867" spans="1:26" x14ac:dyDescent="0.25">
      <c r="A867" s="4"/>
      <c r="B867" s="5"/>
      <c r="C867" s="5"/>
      <c r="D867" s="5"/>
      <c r="W867" s="8"/>
      <c r="X867" s="10"/>
      <c r="Y867" s="10"/>
      <c r="Z867" s="10"/>
    </row>
    <row r="868" spans="1:26" x14ac:dyDescent="0.25">
      <c r="A868" s="4"/>
      <c r="B868" s="5"/>
      <c r="C868" s="5"/>
      <c r="D868" s="5"/>
      <c r="W868" s="8"/>
      <c r="X868" s="10"/>
      <c r="Y868" s="10"/>
      <c r="Z868" s="10"/>
    </row>
    <row r="869" spans="1:26" x14ac:dyDescent="0.25">
      <c r="A869" s="4"/>
      <c r="B869" s="5"/>
      <c r="C869" s="5"/>
      <c r="D869" s="5"/>
      <c r="W869" s="8"/>
      <c r="X869" s="10"/>
      <c r="Y869" s="10"/>
      <c r="Z869" s="10"/>
    </row>
    <row r="870" spans="1:26" x14ac:dyDescent="0.25">
      <c r="A870" s="4"/>
      <c r="B870" s="5"/>
      <c r="C870" s="5"/>
      <c r="D870" s="5"/>
      <c r="W870" s="8"/>
      <c r="X870" s="10"/>
      <c r="Y870" s="10"/>
      <c r="Z870" s="10"/>
    </row>
    <row r="871" spans="1:26" x14ac:dyDescent="0.25">
      <c r="A871" s="4"/>
      <c r="B871" s="5"/>
      <c r="C871" s="5"/>
      <c r="D871" s="5"/>
      <c r="W871" s="8"/>
      <c r="X871" s="10"/>
      <c r="Y871" s="10"/>
      <c r="Z871" s="10"/>
    </row>
    <row r="872" spans="1:26" x14ac:dyDescent="0.25">
      <c r="A872" s="4"/>
      <c r="B872" s="5"/>
      <c r="C872" s="5"/>
      <c r="D872" s="5"/>
      <c r="W872" s="8"/>
      <c r="X872" s="10"/>
      <c r="Y872" s="10"/>
      <c r="Z872" s="10"/>
    </row>
    <row r="873" spans="1:26" x14ac:dyDescent="0.25">
      <c r="A873" s="4"/>
      <c r="B873" s="5"/>
      <c r="C873" s="5"/>
      <c r="D873" s="5"/>
      <c r="W873" s="8"/>
      <c r="X873" s="10"/>
      <c r="Y873" s="10"/>
      <c r="Z873" s="10"/>
    </row>
    <row r="874" spans="1:26" x14ac:dyDescent="0.25">
      <c r="A874" s="4"/>
      <c r="B874" s="5"/>
      <c r="C874" s="5"/>
      <c r="D874" s="5"/>
      <c r="W874" s="8"/>
      <c r="X874" s="10"/>
      <c r="Y874" s="10"/>
      <c r="Z874" s="10"/>
    </row>
    <row r="875" spans="1:26" x14ac:dyDescent="0.25">
      <c r="A875" s="4"/>
      <c r="B875" s="5"/>
      <c r="C875" s="5"/>
      <c r="D875" s="5"/>
      <c r="W875" s="8"/>
      <c r="X875" s="10"/>
      <c r="Y875" s="10"/>
      <c r="Z875" s="10"/>
    </row>
    <row r="876" spans="1:26" x14ac:dyDescent="0.25">
      <c r="A876" s="4"/>
      <c r="B876" s="5"/>
      <c r="C876" s="5"/>
      <c r="D876" s="5"/>
      <c r="W876" s="8"/>
      <c r="X876" s="10"/>
      <c r="Y876" s="10"/>
      <c r="Z876" s="10"/>
    </row>
    <row r="877" spans="1:26" x14ac:dyDescent="0.25">
      <c r="A877" s="4"/>
      <c r="B877" s="5"/>
      <c r="C877" s="5"/>
      <c r="D877" s="5"/>
      <c r="W877" s="8"/>
      <c r="X877" s="10"/>
      <c r="Y877" s="10"/>
      <c r="Z877" s="10"/>
    </row>
    <row r="878" spans="1:26" x14ac:dyDescent="0.25">
      <c r="A878" s="4"/>
      <c r="B878" s="5"/>
      <c r="C878" s="5"/>
      <c r="D878" s="5"/>
      <c r="W878" s="8"/>
      <c r="X878" s="10"/>
      <c r="Y878" s="10"/>
      <c r="Z878" s="10"/>
    </row>
    <row r="879" spans="1:26" x14ac:dyDescent="0.25">
      <c r="A879" s="4"/>
      <c r="B879" s="5"/>
      <c r="C879" s="5"/>
      <c r="D879" s="5"/>
      <c r="W879" s="8"/>
      <c r="X879" s="10"/>
      <c r="Y879" s="10"/>
      <c r="Z879" s="10"/>
    </row>
    <row r="880" spans="1:26" x14ac:dyDescent="0.25">
      <c r="A880" s="4"/>
      <c r="B880" s="5"/>
      <c r="C880" s="5"/>
      <c r="D880" s="5"/>
      <c r="W880" s="8"/>
      <c r="X880" s="10"/>
      <c r="Y880" s="10"/>
      <c r="Z880" s="10"/>
    </row>
    <row r="881" spans="1:26" x14ac:dyDescent="0.25">
      <c r="A881" s="4"/>
      <c r="B881" s="5"/>
      <c r="C881" s="5"/>
      <c r="D881" s="5"/>
      <c r="W881" s="8"/>
      <c r="X881" s="10"/>
      <c r="Y881" s="10"/>
      <c r="Z881" s="10"/>
    </row>
    <row r="882" spans="1:26" x14ac:dyDescent="0.25">
      <c r="A882" s="4"/>
      <c r="B882" s="5"/>
      <c r="C882" s="5"/>
      <c r="D882" s="5"/>
      <c r="W882" s="8"/>
      <c r="X882" s="10"/>
      <c r="Y882" s="10"/>
      <c r="Z882" s="10"/>
    </row>
    <row r="883" spans="1:26" x14ac:dyDescent="0.25">
      <c r="A883" s="4"/>
      <c r="B883" s="5"/>
      <c r="C883" s="5"/>
      <c r="D883" s="5"/>
      <c r="W883" s="8"/>
      <c r="X883" s="10"/>
      <c r="Y883" s="10"/>
      <c r="Z883" s="10"/>
    </row>
    <row r="884" spans="1:26" x14ac:dyDescent="0.25">
      <c r="A884" s="4"/>
      <c r="B884" s="5"/>
      <c r="C884" s="5"/>
      <c r="D884" s="5"/>
      <c r="W884" s="8"/>
      <c r="X884" s="10"/>
      <c r="Y884" s="10"/>
      <c r="Z884" s="10"/>
    </row>
    <row r="885" spans="1:26" x14ac:dyDescent="0.25">
      <c r="A885" s="4"/>
      <c r="B885" s="5"/>
      <c r="C885" s="5"/>
      <c r="D885" s="5"/>
      <c r="W885" s="8"/>
      <c r="X885" s="10"/>
      <c r="Y885" s="10"/>
      <c r="Z885" s="10"/>
    </row>
    <row r="886" spans="1:26" x14ac:dyDescent="0.25">
      <c r="A886" s="4"/>
      <c r="B886" s="5"/>
      <c r="C886" s="5"/>
      <c r="D886" s="5"/>
      <c r="W886" s="8"/>
      <c r="X886" s="10"/>
      <c r="Y886" s="10"/>
      <c r="Z886" s="10"/>
    </row>
    <row r="887" spans="1:26" x14ac:dyDescent="0.25">
      <c r="A887" s="4"/>
      <c r="B887" s="5"/>
      <c r="C887" s="5"/>
      <c r="D887" s="5"/>
      <c r="W887" s="8"/>
      <c r="X887" s="10"/>
      <c r="Y887" s="10"/>
      <c r="Z887" s="10"/>
    </row>
    <row r="888" spans="1:26" x14ac:dyDescent="0.25">
      <c r="A888" s="4"/>
      <c r="B888" s="5"/>
      <c r="C888" s="5"/>
      <c r="D888" s="5"/>
      <c r="W888" s="8"/>
      <c r="X888" s="10"/>
      <c r="Y888" s="10"/>
      <c r="Z888" s="10"/>
    </row>
    <row r="889" spans="1:26" x14ac:dyDescent="0.25">
      <c r="A889" s="4"/>
      <c r="B889" s="5"/>
      <c r="C889" s="5"/>
      <c r="D889" s="5"/>
      <c r="W889" s="8"/>
      <c r="X889" s="10"/>
      <c r="Y889" s="10"/>
      <c r="Z889" s="10"/>
    </row>
    <row r="890" spans="1:26" x14ac:dyDescent="0.25">
      <c r="A890" s="4"/>
      <c r="B890" s="5"/>
      <c r="C890" s="5"/>
      <c r="D890" s="5"/>
      <c r="W890" s="8"/>
      <c r="X890" s="10"/>
      <c r="Y890" s="10"/>
      <c r="Z890" s="10"/>
    </row>
    <row r="891" spans="1:26" x14ac:dyDescent="0.25">
      <c r="A891" s="4"/>
      <c r="B891" s="5"/>
      <c r="C891" s="5"/>
      <c r="D891" s="5"/>
      <c r="W891" s="8"/>
      <c r="X891" s="10"/>
      <c r="Y891" s="10"/>
      <c r="Z891" s="10"/>
    </row>
    <row r="892" spans="1:26" x14ac:dyDescent="0.25">
      <c r="A892" s="4"/>
      <c r="B892" s="5"/>
      <c r="C892" s="5"/>
      <c r="D892" s="5"/>
      <c r="W892" s="8"/>
      <c r="X892" s="10"/>
      <c r="Y892" s="10"/>
      <c r="Z892" s="10"/>
    </row>
    <row r="893" spans="1:26" x14ac:dyDescent="0.25">
      <c r="A893" s="4"/>
      <c r="B893" s="5"/>
      <c r="C893" s="5"/>
      <c r="D893" s="5"/>
      <c r="W893" s="8"/>
      <c r="X893" s="10"/>
      <c r="Y893" s="10"/>
      <c r="Z893" s="10"/>
    </row>
    <row r="894" spans="1:26" x14ac:dyDescent="0.25">
      <c r="A894" s="4"/>
      <c r="B894" s="5"/>
      <c r="C894" s="5"/>
      <c r="D894" s="5"/>
      <c r="W894" s="8"/>
      <c r="X894" s="10"/>
      <c r="Y894" s="10"/>
      <c r="Z894" s="10"/>
    </row>
    <row r="895" spans="1:26" x14ac:dyDescent="0.25">
      <c r="A895" s="4"/>
      <c r="B895" s="5"/>
      <c r="C895" s="5"/>
      <c r="D895" s="5"/>
      <c r="W895" s="8"/>
      <c r="X895" s="10"/>
      <c r="Y895" s="10"/>
      <c r="Z895" s="10"/>
    </row>
    <row r="896" spans="1:26" x14ac:dyDescent="0.25">
      <c r="A896" s="4"/>
      <c r="B896" s="5"/>
      <c r="C896" s="5"/>
      <c r="D896" s="5"/>
      <c r="W896" s="8"/>
      <c r="X896" s="10"/>
      <c r="Y896" s="10"/>
      <c r="Z896" s="10"/>
    </row>
    <row r="897" spans="1:26" x14ac:dyDescent="0.25">
      <c r="A897" s="4"/>
      <c r="B897" s="5"/>
      <c r="C897" s="5"/>
      <c r="D897" s="5"/>
      <c r="W897" s="8"/>
      <c r="X897" s="10"/>
      <c r="Y897" s="10"/>
      <c r="Z897" s="10"/>
    </row>
    <row r="898" spans="1:26" x14ac:dyDescent="0.25">
      <c r="A898" s="4"/>
      <c r="B898" s="5"/>
      <c r="C898" s="5"/>
      <c r="D898" s="5"/>
      <c r="W898" s="8"/>
      <c r="X898" s="10"/>
      <c r="Y898" s="10"/>
      <c r="Z898" s="10"/>
    </row>
    <row r="899" spans="1:26" x14ac:dyDescent="0.25">
      <c r="A899" s="4"/>
      <c r="B899" s="5"/>
      <c r="C899" s="5"/>
      <c r="D899" s="5"/>
      <c r="W899" s="8"/>
      <c r="X899" s="10"/>
      <c r="Y899" s="10"/>
      <c r="Z899" s="10"/>
    </row>
    <row r="900" spans="1:26" x14ac:dyDescent="0.25">
      <c r="A900" s="4"/>
      <c r="B900" s="5"/>
      <c r="C900" s="5"/>
      <c r="D900" s="5"/>
      <c r="W900" s="8"/>
      <c r="X900" s="10"/>
      <c r="Y900" s="10"/>
      <c r="Z900" s="10"/>
    </row>
    <row r="901" spans="1:26" x14ac:dyDescent="0.25">
      <c r="A901" s="4"/>
      <c r="B901" s="5"/>
      <c r="C901" s="5"/>
      <c r="D901" s="5"/>
      <c r="W901" s="8"/>
      <c r="X901" s="10"/>
      <c r="Y901" s="10"/>
      <c r="Z901" s="10"/>
    </row>
    <row r="902" spans="1:26" x14ac:dyDescent="0.25">
      <c r="A902" s="4"/>
      <c r="B902" s="5"/>
      <c r="C902" s="5"/>
      <c r="D902" s="5"/>
      <c r="W902" s="8"/>
      <c r="X902" s="10"/>
      <c r="Y902" s="10"/>
      <c r="Z902" s="10"/>
    </row>
    <row r="903" spans="1:26" x14ac:dyDescent="0.25">
      <c r="A903" s="4"/>
      <c r="B903" s="5"/>
      <c r="C903" s="5"/>
      <c r="D903" s="5"/>
      <c r="W903" s="8"/>
      <c r="X903" s="10"/>
      <c r="Y903" s="10"/>
      <c r="Z903" s="10"/>
    </row>
    <row r="904" spans="1:26" x14ac:dyDescent="0.25">
      <c r="A904" s="4"/>
      <c r="B904" s="5"/>
      <c r="C904" s="5"/>
      <c r="D904" s="5"/>
      <c r="W904" s="8"/>
      <c r="X904" s="10"/>
      <c r="Y904" s="10"/>
      <c r="Z904" s="10"/>
    </row>
    <row r="905" spans="1:26" x14ac:dyDescent="0.25">
      <c r="A905" s="4"/>
      <c r="B905" s="5"/>
      <c r="C905" s="5"/>
      <c r="D905" s="5"/>
      <c r="W905" s="8"/>
      <c r="X905" s="10"/>
      <c r="Y905" s="10"/>
      <c r="Z905" s="10"/>
    </row>
    <row r="906" spans="1:26" x14ac:dyDescent="0.25">
      <c r="A906" s="4"/>
      <c r="B906" s="5"/>
      <c r="C906" s="5"/>
      <c r="D906" s="5"/>
      <c r="W906" s="8"/>
      <c r="X906" s="10"/>
      <c r="Y906" s="10"/>
      <c r="Z906" s="10"/>
    </row>
    <row r="907" spans="1:26" x14ac:dyDescent="0.25">
      <c r="A907" s="4"/>
      <c r="B907" s="5"/>
      <c r="C907" s="5"/>
      <c r="D907" s="5"/>
      <c r="W907" s="8"/>
      <c r="X907" s="10"/>
      <c r="Y907" s="10"/>
      <c r="Z907" s="10"/>
    </row>
    <row r="908" spans="1:26" x14ac:dyDescent="0.25">
      <c r="A908" s="4"/>
      <c r="B908" s="5"/>
      <c r="C908" s="5"/>
      <c r="D908" s="5"/>
      <c r="W908" s="8"/>
      <c r="X908" s="10"/>
      <c r="Y908" s="10"/>
      <c r="Z908" s="10"/>
    </row>
    <row r="909" spans="1:26" x14ac:dyDescent="0.25">
      <c r="A909" s="4"/>
      <c r="B909" s="5"/>
      <c r="C909" s="5"/>
      <c r="D909" s="5"/>
      <c r="W909" s="8"/>
      <c r="X909" s="10"/>
      <c r="Y909" s="10"/>
      <c r="Z909" s="10"/>
    </row>
    <row r="910" spans="1:26" x14ac:dyDescent="0.25">
      <c r="A910" s="4"/>
      <c r="B910" s="5"/>
      <c r="C910" s="5"/>
      <c r="D910" s="5"/>
      <c r="W910" s="8"/>
      <c r="X910" s="10"/>
      <c r="Y910" s="10"/>
      <c r="Z910" s="10"/>
    </row>
    <row r="911" spans="1:26" x14ac:dyDescent="0.25">
      <c r="A911" s="4"/>
      <c r="B911" s="5"/>
      <c r="C911" s="5"/>
      <c r="D911" s="5"/>
      <c r="W911" s="8"/>
      <c r="X911" s="10"/>
      <c r="Y911" s="10"/>
      <c r="Z911" s="10"/>
    </row>
    <row r="912" spans="1:26" x14ac:dyDescent="0.25">
      <c r="A912" s="4"/>
      <c r="B912" s="5"/>
      <c r="C912" s="5"/>
      <c r="D912" s="5"/>
      <c r="W912" s="8"/>
      <c r="X912" s="10"/>
      <c r="Y912" s="10"/>
      <c r="Z912" s="10"/>
    </row>
    <row r="913" spans="1:26" x14ac:dyDescent="0.25">
      <c r="A913" s="4"/>
      <c r="B913" s="5"/>
      <c r="C913" s="5"/>
      <c r="D913" s="5"/>
      <c r="W913" s="8"/>
      <c r="X913" s="10"/>
      <c r="Y913" s="10"/>
      <c r="Z913" s="10"/>
    </row>
    <row r="914" spans="1:26" x14ac:dyDescent="0.25">
      <c r="A914" s="4"/>
      <c r="B914" s="5"/>
      <c r="C914" s="5"/>
      <c r="D914" s="5"/>
      <c r="W914" s="8"/>
      <c r="X914" s="10"/>
      <c r="Y914" s="10"/>
      <c r="Z914" s="10"/>
    </row>
    <row r="915" spans="1:26" x14ac:dyDescent="0.25">
      <c r="A915" s="4"/>
      <c r="B915" s="5"/>
      <c r="C915" s="5"/>
      <c r="D915" s="5"/>
      <c r="W915" s="8"/>
      <c r="X915" s="10"/>
      <c r="Y915" s="10"/>
      <c r="Z915" s="10"/>
    </row>
    <row r="916" spans="1:26" x14ac:dyDescent="0.25">
      <c r="A916" s="4"/>
      <c r="B916" s="5"/>
      <c r="C916" s="5"/>
      <c r="D916" s="5"/>
      <c r="W916" s="8"/>
      <c r="X916" s="10"/>
      <c r="Y916" s="10"/>
      <c r="Z916" s="10"/>
    </row>
    <row r="917" spans="1:26" x14ac:dyDescent="0.25">
      <c r="A917" s="4"/>
      <c r="B917" s="5"/>
      <c r="C917" s="5"/>
      <c r="D917" s="5"/>
      <c r="W917" s="8"/>
      <c r="X917" s="10"/>
      <c r="Y917" s="10"/>
      <c r="Z917" s="10"/>
    </row>
    <row r="918" spans="1:26" x14ac:dyDescent="0.25">
      <c r="A918" s="4"/>
      <c r="B918" s="5"/>
      <c r="C918" s="5"/>
      <c r="D918" s="5"/>
      <c r="W918" s="8"/>
      <c r="X918" s="10"/>
      <c r="Y918" s="10"/>
      <c r="Z918" s="10"/>
    </row>
    <row r="919" spans="1:26" x14ac:dyDescent="0.25">
      <c r="A919" s="4"/>
      <c r="B919" s="5"/>
      <c r="C919" s="5"/>
      <c r="D919" s="5"/>
      <c r="W919" s="8"/>
      <c r="X919" s="10"/>
      <c r="Y919" s="10"/>
      <c r="Z919" s="10"/>
    </row>
    <row r="920" spans="1:26" x14ac:dyDescent="0.25">
      <c r="A920" s="4"/>
      <c r="B920" s="5"/>
      <c r="C920" s="5"/>
      <c r="D920" s="5"/>
      <c r="W920" s="8"/>
      <c r="X920" s="10"/>
      <c r="Y920" s="10"/>
      <c r="Z920" s="10"/>
    </row>
    <row r="921" spans="1:26" x14ac:dyDescent="0.25">
      <c r="A921" s="4"/>
      <c r="B921" s="5"/>
      <c r="C921" s="5"/>
      <c r="D921" s="5"/>
      <c r="W921" s="8"/>
      <c r="X921" s="10"/>
      <c r="Y921" s="10"/>
      <c r="Z921" s="10"/>
    </row>
    <row r="922" spans="1:26" x14ac:dyDescent="0.25">
      <c r="A922" s="4"/>
      <c r="B922" s="5"/>
      <c r="C922" s="5"/>
      <c r="D922" s="5"/>
      <c r="W922" s="8"/>
      <c r="X922" s="10"/>
      <c r="Y922" s="10"/>
      <c r="Z922" s="10"/>
    </row>
    <row r="923" spans="1:26" x14ac:dyDescent="0.25">
      <c r="A923" s="4"/>
      <c r="B923" s="5"/>
      <c r="C923" s="5"/>
      <c r="D923" s="5"/>
      <c r="W923" s="8"/>
      <c r="X923" s="10"/>
      <c r="Y923" s="10"/>
      <c r="Z923" s="10"/>
    </row>
    <row r="924" spans="1:26" x14ac:dyDescent="0.25">
      <c r="A924" s="4"/>
      <c r="B924" s="5"/>
      <c r="C924" s="5"/>
      <c r="D924" s="5"/>
      <c r="W924" s="8"/>
      <c r="X924" s="10"/>
      <c r="Y924" s="10"/>
      <c r="Z924" s="10"/>
    </row>
    <row r="925" spans="1:26" x14ac:dyDescent="0.25">
      <c r="A925" s="4"/>
      <c r="B925" s="5"/>
      <c r="C925" s="5"/>
      <c r="D925" s="5"/>
      <c r="W925" s="8"/>
      <c r="X925" s="10"/>
      <c r="Y925" s="10"/>
      <c r="Z925" s="10"/>
    </row>
    <row r="926" spans="1:26" x14ac:dyDescent="0.25">
      <c r="A926" s="4"/>
      <c r="B926" s="5"/>
      <c r="C926" s="5"/>
      <c r="D926" s="5"/>
      <c r="W926" s="8"/>
      <c r="X926" s="10"/>
      <c r="Y926" s="10"/>
      <c r="Z926" s="10"/>
    </row>
    <row r="927" spans="1:26" x14ac:dyDescent="0.25">
      <c r="A927" s="4"/>
      <c r="B927" s="5"/>
      <c r="C927" s="5"/>
      <c r="D927" s="5"/>
      <c r="W927" s="8"/>
      <c r="X927" s="10"/>
      <c r="Y927" s="10"/>
      <c r="Z927" s="10"/>
    </row>
    <row r="928" spans="1:26" x14ac:dyDescent="0.25">
      <c r="A928" s="4"/>
      <c r="B928" s="5"/>
      <c r="C928" s="5"/>
      <c r="D928" s="5"/>
      <c r="W928" s="8"/>
      <c r="X928" s="10"/>
      <c r="Y928" s="10"/>
      <c r="Z928" s="10"/>
    </row>
    <row r="929" spans="1:26" x14ac:dyDescent="0.25">
      <c r="A929" s="4"/>
      <c r="B929" s="5"/>
      <c r="C929" s="5"/>
      <c r="D929" s="5"/>
      <c r="W929" s="8"/>
      <c r="X929" s="10"/>
      <c r="Y929" s="10"/>
      <c r="Z929" s="10"/>
    </row>
    <row r="930" spans="1:26" x14ac:dyDescent="0.25">
      <c r="A930" s="4"/>
      <c r="B930" s="5"/>
      <c r="C930" s="5"/>
      <c r="D930" s="5"/>
      <c r="W930" s="8"/>
      <c r="X930" s="10"/>
      <c r="Y930" s="10"/>
      <c r="Z930" s="10"/>
    </row>
    <row r="931" spans="1:26" x14ac:dyDescent="0.25">
      <c r="A931" s="4"/>
      <c r="B931" s="5"/>
      <c r="C931" s="5"/>
      <c r="D931" s="5"/>
      <c r="W931" s="8"/>
      <c r="X931" s="10"/>
      <c r="Y931" s="10"/>
      <c r="Z931" s="10"/>
    </row>
    <row r="932" spans="1:26" x14ac:dyDescent="0.25">
      <c r="A932" s="4"/>
      <c r="B932" s="5"/>
      <c r="C932" s="5"/>
      <c r="D932" s="5"/>
      <c r="W932" s="8"/>
      <c r="X932" s="10"/>
      <c r="Y932" s="10"/>
      <c r="Z932" s="10"/>
    </row>
    <row r="933" spans="1:26" x14ac:dyDescent="0.25">
      <c r="A933" s="4"/>
      <c r="B933" s="5"/>
      <c r="C933" s="5"/>
      <c r="D933" s="5"/>
      <c r="W933" s="8"/>
      <c r="X933" s="10"/>
      <c r="Y933" s="10"/>
      <c r="Z933" s="10"/>
    </row>
    <row r="934" spans="1:26" x14ac:dyDescent="0.25">
      <c r="A934" s="4"/>
      <c r="B934" s="5"/>
      <c r="C934" s="5"/>
      <c r="D934" s="5"/>
      <c r="W934" s="8"/>
      <c r="X934" s="10"/>
      <c r="Y934" s="10"/>
      <c r="Z934" s="10"/>
    </row>
    <row r="935" spans="1:26" x14ac:dyDescent="0.25">
      <c r="A935" s="4"/>
      <c r="B935" s="5"/>
      <c r="C935" s="5"/>
      <c r="D935" s="5"/>
      <c r="W935" s="8"/>
      <c r="X935" s="10"/>
      <c r="Y935" s="10"/>
      <c r="Z935" s="10"/>
    </row>
    <row r="936" spans="1:26" x14ac:dyDescent="0.25">
      <c r="A936" s="4"/>
      <c r="B936" s="5"/>
      <c r="C936" s="5"/>
      <c r="D936" s="5"/>
      <c r="W936" s="8"/>
      <c r="X936" s="10"/>
      <c r="Y936" s="10"/>
      <c r="Z936" s="10"/>
    </row>
    <row r="937" spans="1:26" x14ac:dyDescent="0.25">
      <c r="A937" s="4"/>
      <c r="B937" s="5"/>
      <c r="C937" s="5"/>
      <c r="D937" s="5"/>
      <c r="W937" s="8"/>
      <c r="X937" s="10"/>
      <c r="Y937" s="10"/>
      <c r="Z937" s="10"/>
    </row>
    <row r="938" spans="1:26" x14ac:dyDescent="0.25">
      <c r="A938" s="4"/>
      <c r="B938" s="5"/>
      <c r="C938" s="5"/>
      <c r="D938" s="5"/>
      <c r="W938" s="8"/>
      <c r="X938" s="10"/>
      <c r="Y938" s="10"/>
      <c r="Z938" s="10"/>
    </row>
    <row r="939" spans="1:26" x14ac:dyDescent="0.25">
      <c r="A939" s="4"/>
      <c r="B939" s="5"/>
      <c r="C939" s="5"/>
      <c r="D939" s="5"/>
      <c r="W939" s="8"/>
      <c r="X939" s="10"/>
      <c r="Y939" s="10"/>
      <c r="Z939" s="10"/>
    </row>
    <row r="940" spans="1:26" x14ac:dyDescent="0.25">
      <c r="A940" s="4"/>
      <c r="B940" s="5"/>
      <c r="C940" s="5"/>
      <c r="D940" s="5"/>
      <c r="W940" s="8"/>
      <c r="X940" s="10"/>
      <c r="Y940" s="10"/>
      <c r="Z940" s="10"/>
    </row>
    <row r="941" spans="1:26" x14ac:dyDescent="0.25">
      <c r="A941" s="4"/>
      <c r="B941" s="5"/>
      <c r="C941" s="5"/>
      <c r="D941" s="5"/>
      <c r="W941" s="8"/>
      <c r="X941" s="10"/>
      <c r="Y941" s="10"/>
      <c r="Z941" s="10"/>
    </row>
    <row r="942" spans="1:26" x14ac:dyDescent="0.25">
      <c r="A942" s="4"/>
      <c r="B942" s="5"/>
      <c r="C942" s="5"/>
      <c r="D942" s="5"/>
      <c r="W942" s="8"/>
      <c r="X942" s="10"/>
      <c r="Y942" s="10"/>
      <c r="Z942" s="10"/>
    </row>
    <row r="943" spans="1:26" x14ac:dyDescent="0.25">
      <c r="A943" s="4"/>
      <c r="B943" s="5"/>
      <c r="C943" s="5"/>
      <c r="D943" s="5"/>
      <c r="W943" s="8"/>
      <c r="X943" s="10"/>
      <c r="Y943" s="10"/>
      <c r="Z943" s="10"/>
    </row>
    <row r="944" spans="1:26" x14ac:dyDescent="0.25">
      <c r="A944" s="4"/>
      <c r="B944" s="5"/>
      <c r="C944" s="5"/>
      <c r="D944" s="5"/>
      <c r="W944" s="8"/>
      <c r="X944" s="10"/>
      <c r="Y944" s="10"/>
      <c r="Z944" s="10"/>
    </row>
    <row r="945" spans="1:26" x14ac:dyDescent="0.25">
      <c r="A945" s="4"/>
      <c r="B945" s="5"/>
      <c r="C945" s="5"/>
      <c r="D945" s="5"/>
      <c r="W945" s="8"/>
      <c r="X945" s="10"/>
      <c r="Y945" s="10"/>
      <c r="Z945" s="10"/>
    </row>
    <row r="946" spans="1:26" x14ac:dyDescent="0.25">
      <c r="A946" s="4"/>
      <c r="B946" s="5"/>
      <c r="C946" s="5"/>
      <c r="D946" s="5"/>
      <c r="W946" s="8"/>
      <c r="X946" s="10"/>
      <c r="Y946" s="10"/>
      <c r="Z946" s="10"/>
    </row>
    <row r="947" spans="1:26" x14ac:dyDescent="0.25">
      <c r="A947" s="4"/>
      <c r="B947" s="5"/>
      <c r="C947" s="5"/>
      <c r="D947" s="5"/>
      <c r="W947" s="8"/>
      <c r="X947" s="10"/>
      <c r="Y947" s="10"/>
      <c r="Z947" s="10"/>
    </row>
    <row r="948" spans="1:26" x14ac:dyDescent="0.25">
      <c r="A948" s="4"/>
      <c r="B948" s="5"/>
      <c r="C948" s="5"/>
      <c r="D948" s="5"/>
      <c r="W948" s="8"/>
      <c r="X948" s="10"/>
      <c r="Y948" s="10"/>
      <c r="Z948" s="10"/>
    </row>
    <row r="949" spans="1:26" x14ac:dyDescent="0.25">
      <c r="A949" s="4"/>
      <c r="B949" s="5"/>
      <c r="C949" s="5"/>
      <c r="D949" s="5"/>
      <c r="W949" s="8"/>
      <c r="X949" s="10"/>
      <c r="Y949" s="10"/>
      <c r="Z949" s="10"/>
    </row>
    <row r="950" spans="1:26" x14ac:dyDescent="0.25">
      <c r="A950" s="4"/>
      <c r="B950" s="5"/>
      <c r="C950" s="5"/>
      <c r="D950" s="5"/>
      <c r="W950" s="8"/>
      <c r="X950" s="10"/>
      <c r="Y950" s="10"/>
      <c r="Z950" s="10"/>
    </row>
    <row r="951" spans="1:26" x14ac:dyDescent="0.25">
      <c r="A951" s="4"/>
      <c r="B951" s="5"/>
      <c r="C951" s="5"/>
      <c r="D951" s="5"/>
      <c r="W951" s="8"/>
      <c r="X951" s="10"/>
      <c r="Y951" s="10"/>
      <c r="Z951" s="10"/>
    </row>
    <row r="952" spans="1:26" x14ac:dyDescent="0.25">
      <c r="A952" s="4"/>
      <c r="B952" s="5"/>
      <c r="C952" s="5"/>
      <c r="D952" s="5"/>
      <c r="W952" s="8"/>
      <c r="X952" s="10"/>
      <c r="Y952" s="10"/>
      <c r="Z952" s="10"/>
    </row>
    <row r="953" spans="1:26" x14ac:dyDescent="0.25">
      <c r="A953" s="4"/>
      <c r="B953" s="5"/>
      <c r="C953" s="5"/>
      <c r="D953" s="5"/>
      <c r="W953" s="8"/>
      <c r="X953" s="10"/>
      <c r="Y953" s="10"/>
      <c r="Z953" s="10"/>
    </row>
    <row r="954" spans="1:26" x14ac:dyDescent="0.25">
      <c r="A954" s="4"/>
      <c r="B954" s="5"/>
      <c r="C954" s="5"/>
      <c r="D954" s="5"/>
      <c r="W954" s="8"/>
      <c r="X954" s="10"/>
      <c r="Y954" s="10"/>
      <c r="Z954" s="10"/>
    </row>
    <row r="955" spans="1:26" x14ac:dyDescent="0.25">
      <c r="A955" s="4"/>
      <c r="B955" s="5"/>
      <c r="C955" s="5"/>
      <c r="D955" s="5"/>
      <c r="W955" s="8"/>
      <c r="X955" s="10"/>
      <c r="Y955" s="10"/>
      <c r="Z955" s="10"/>
    </row>
    <row r="956" spans="1:26" x14ac:dyDescent="0.25">
      <c r="A956" s="4"/>
      <c r="B956" s="5"/>
      <c r="C956" s="5"/>
      <c r="D956" s="5"/>
      <c r="W956" s="8"/>
      <c r="X956" s="10"/>
      <c r="Y956" s="10"/>
      <c r="Z956" s="10"/>
    </row>
    <row r="957" spans="1:26" x14ac:dyDescent="0.25">
      <c r="A957" s="4"/>
      <c r="B957" s="5"/>
      <c r="C957" s="5"/>
      <c r="D957" s="5"/>
      <c r="W957" s="8"/>
      <c r="X957" s="10"/>
      <c r="Y957" s="10"/>
      <c r="Z957" s="10"/>
    </row>
    <row r="958" spans="1:26" x14ac:dyDescent="0.25">
      <c r="A958" s="4"/>
      <c r="B958" s="5"/>
      <c r="C958" s="5"/>
      <c r="D958" s="5"/>
      <c r="W958" s="8"/>
      <c r="X958" s="10"/>
      <c r="Y958" s="10"/>
      <c r="Z958" s="10"/>
    </row>
    <row r="959" spans="1:26" x14ac:dyDescent="0.25">
      <c r="A959" s="4"/>
      <c r="B959" s="5"/>
      <c r="C959" s="5"/>
      <c r="D959" s="5"/>
      <c r="W959" s="8"/>
      <c r="X959" s="10"/>
      <c r="Y959" s="10"/>
      <c r="Z959" s="10"/>
    </row>
    <row r="960" spans="1:26" x14ac:dyDescent="0.25">
      <c r="A960" s="4"/>
      <c r="B960" s="5"/>
      <c r="C960" s="5"/>
      <c r="D960" s="5"/>
      <c r="W960" s="8"/>
      <c r="X960" s="10"/>
      <c r="Y960" s="10"/>
      <c r="Z960" s="10"/>
    </row>
    <row r="961" spans="1:26" x14ac:dyDescent="0.25">
      <c r="A961" s="4"/>
      <c r="B961" s="5"/>
      <c r="C961" s="5"/>
      <c r="D961" s="5"/>
      <c r="W961" s="8"/>
      <c r="X961" s="10"/>
      <c r="Y961" s="10"/>
      <c r="Z961" s="10"/>
    </row>
    <row r="962" spans="1:26" x14ac:dyDescent="0.25">
      <c r="A962" s="4"/>
      <c r="B962" s="5"/>
      <c r="C962" s="5"/>
      <c r="D962" s="5"/>
      <c r="W962" s="8"/>
      <c r="X962" s="10"/>
      <c r="Y962" s="10"/>
      <c r="Z962" s="10"/>
    </row>
    <row r="963" spans="1:26" x14ac:dyDescent="0.25">
      <c r="A963" s="4"/>
      <c r="B963" s="5"/>
      <c r="C963" s="5"/>
      <c r="D963" s="5"/>
      <c r="W963" s="8"/>
      <c r="X963" s="10"/>
      <c r="Y963" s="10"/>
      <c r="Z963" s="10"/>
    </row>
    <row r="964" spans="1:26" x14ac:dyDescent="0.25">
      <c r="A964" s="4"/>
      <c r="B964" s="5"/>
      <c r="C964" s="5"/>
      <c r="D964" s="5"/>
      <c r="W964" s="8"/>
      <c r="X964" s="10"/>
      <c r="Y964" s="10"/>
      <c r="Z964" s="10"/>
    </row>
    <row r="965" spans="1:26" x14ac:dyDescent="0.25">
      <c r="A965" s="4"/>
      <c r="B965" s="5"/>
      <c r="C965" s="5"/>
      <c r="D965" s="5"/>
      <c r="W965" s="8"/>
      <c r="X965" s="10"/>
      <c r="Y965" s="10"/>
      <c r="Z965" s="10"/>
    </row>
    <row r="966" spans="1:26" x14ac:dyDescent="0.25">
      <c r="A966" s="4"/>
      <c r="B966" s="5"/>
      <c r="C966" s="5"/>
      <c r="D966" s="5"/>
      <c r="W966" s="8"/>
      <c r="X966" s="10"/>
      <c r="Y966" s="10"/>
      <c r="Z966" s="10"/>
    </row>
    <row r="967" spans="1:26" x14ac:dyDescent="0.25">
      <c r="A967" s="4"/>
      <c r="B967" s="5"/>
      <c r="C967" s="5"/>
      <c r="D967" s="5"/>
      <c r="W967" s="8"/>
      <c r="X967" s="10"/>
      <c r="Y967" s="10"/>
      <c r="Z967" s="10"/>
    </row>
    <row r="968" spans="1:26" x14ac:dyDescent="0.25">
      <c r="A968" s="4"/>
      <c r="B968" s="5"/>
      <c r="C968" s="5"/>
      <c r="D968" s="5"/>
      <c r="W968" s="8"/>
      <c r="X968" s="10"/>
      <c r="Y968" s="10"/>
      <c r="Z968" s="10"/>
    </row>
    <row r="969" spans="1:26" x14ac:dyDescent="0.25">
      <c r="A969" s="4"/>
      <c r="B969" s="5"/>
      <c r="C969" s="5"/>
      <c r="D969" s="5"/>
      <c r="W969" s="8"/>
      <c r="X969" s="10"/>
      <c r="Y969" s="10"/>
      <c r="Z969" s="10"/>
    </row>
    <row r="970" spans="1:26" x14ac:dyDescent="0.25">
      <c r="A970" s="4"/>
      <c r="B970" s="5"/>
      <c r="C970" s="5"/>
      <c r="D970" s="5"/>
      <c r="W970" s="8"/>
      <c r="X970" s="10"/>
      <c r="Y970" s="10"/>
      <c r="Z970" s="10"/>
    </row>
    <row r="971" spans="1:26" x14ac:dyDescent="0.25">
      <c r="A971" s="4"/>
      <c r="B971" s="5"/>
      <c r="C971" s="5"/>
      <c r="D971" s="5"/>
      <c r="W971" s="8"/>
      <c r="X971" s="10"/>
      <c r="Y971" s="10"/>
      <c r="Z971" s="10"/>
    </row>
    <row r="972" spans="1:26" x14ac:dyDescent="0.25">
      <c r="A972" s="4"/>
      <c r="B972" s="5"/>
      <c r="C972" s="5"/>
      <c r="D972" s="5"/>
      <c r="W972" s="8"/>
      <c r="X972" s="10"/>
      <c r="Y972" s="10"/>
      <c r="Z972" s="10"/>
    </row>
    <row r="973" spans="1:26" x14ac:dyDescent="0.25">
      <c r="A973" s="4"/>
      <c r="B973" s="5"/>
      <c r="C973" s="5"/>
      <c r="D973" s="5"/>
      <c r="W973" s="8"/>
      <c r="X973" s="10"/>
      <c r="Y973" s="10"/>
      <c r="Z973" s="10"/>
    </row>
    <row r="974" spans="1:26" x14ac:dyDescent="0.25">
      <c r="A974" s="4"/>
      <c r="B974" s="5"/>
      <c r="C974" s="5"/>
      <c r="D974" s="5"/>
      <c r="W974" s="8"/>
      <c r="X974" s="10"/>
      <c r="Y974" s="10"/>
      <c r="Z974" s="10"/>
    </row>
    <row r="975" spans="1:26" x14ac:dyDescent="0.25">
      <c r="A975" s="4"/>
      <c r="B975" s="5"/>
      <c r="C975" s="5"/>
      <c r="D975" s="5"/>
      <c r="W975" s="8"/>
      <c r="X975" s="10"/>
      <c r="Y975" s="10"/>
      <c r="Z975" s="10"/>
    </row>
    <row r="976" spans="1:26" x14ac:dyDescent="0.25">
      <c r="A976" s="4"/>
      <c r="B976" s="5"/>
      <c r="C976" s="5"/>
      <c r="D976" s="5"/>
      <c r="W976" s="8"/>
      <c r="X976" s="10"/>
      <c r="Y976" s="10"/>
      <c r="Z976" s="10"/>
    </row>
    <row r="977" spans="1:26" x14ac:dyDescent="0.25">
      <c r="A977" s="4"/>
      <c r="B977" s="5"/>
      <c r="C977" s="5"/>
      <c r="D977" s="5"/>
      <c r="W977" s="8"/>
      <c r="X977" s="10"/>
      <c r="Y977" s="10"/>
      <c r="Z977" s="10"/>
    </row>
    <row r="978" spans="1:26" x14ac:dyDescent="0.25">
      <c r="A978" s="4"/>
      <c r="B978" s="5"/>
      <c r="C978" s="5"/>
      <c r="D978" s="5"/>
      <c r="W978" s="8"/>
      <c r="X978" s="10"/>
      <c r="Y978" s="10"/>
      <c r="Z978" s="10"/>
    </row>
    <row r="979" spans="1:26" x14ac:dyDescent="0.25">
      <c r="A979" s="4"/>
      <c r="B979" s="5"/>
      <c r="C979" s="5"/>
      <c r="D979" s="5"/>
      <c r="W979" s="8"/>
      <c r="X979" s="10"/>
      <c r="Y979" s="10"/>
      <c r="Z979" s="10"/>
    </row>
    <row r="980" spans="1:26" x14ac:dyDescent="0.25">
      <c r="A980" s="4"/>
      <c r="B980" s="5"/>
      <c r="C980" s="5"/>
      <c r="D980" s="5"/>
      <c r="W980" s="8"/>
      <c r="X980" s="10"/>
      <c r="Y980" s="10"/>
      <c r="Z980" s="10"/>
    </row>
    <row r="981" spans="1:26" x14ac:dyDescent="0.25">
      <c r="A981" s="4"/>
      <c r="B981" s="5"/>
      <c r="C981" s="5"/>
      <c r="D981" s="5"/>
      <c r="W981" s="8"/>
      <c r="X981" s="10"/>
      <c r="Y981" s="10"/>
      <c r="Z981" s="10"/>
    </row>
    <row r="982" spans="1:26" x14ac:dyDescent="0.25">
      <c r="A982" s="4"/>
      <c r="B982" s="5"/>
      <c r="C982" s="5"/>
      <c r="D982" s="5"/>
      <c r="W982" s="8"/>
      <c r="X982" s="10"/>
      <c r="Y982" s="10"/>
      <c r="Z982" s="10"/>
    </row>
    <row r="983" spans="1:26" x14ac:dyDescent="0.25">
      <c r="A983" s="4"/>
      <c r="B983" s="5"/>
      <c r="C983" s="5"/>
      <c r="D983" s="5"/>
      <c r="W983" s="8"/>
      <c r="X983" s="10"/>
      <c r="Y983" s="10"/>
      <c r="Z983" s="10"/>
    </row>
    <row r="984" spans="1:26" x14ac:dyDescent="0.25">
      <c r="A984" s="4"/>
      <c r="B984" s="5"/>
      <c r="C984" s="5"/>
      <c r="D984" s="5"/>
      <c r="W984" s="8"/>
      <c r="X984" s="10"/>
      <c r="Y984" s="10"/>
      <c r="Z984" s="10"/>
    </row>
    <row r="985" spans="1:26" x14ac:dyDescent="0.25">
      <c r="A985" s="4"/>
      <c r="B985" s="5"/>
      <c r="C985" s="5"/>
      <c r="D985" s="5"/>
      <c r="W985" s="8"/>
      <c r="X985" s="10"/>
      <c r="Y985" s="10"/>
      <c r="Z985" s="10"/>
    </row>
    <row r="986" spans="1:26" x14ac:dyDescent="0.25">
      <c r="A986" s="4"/>
      <c r="B986" s="5"/>
      <c r="C986" s="5"/>
      <c r="D986" s="5"/>
      <c r="W986" s="8"/>
      <c r="X986" s="10"/>
      <c r="Y986" s="10"/>
      <c r="Z986" s="10"/>
    </row>
    <row r="987" spans="1:26" x14ac:dyDescent="0.25">
      <c r="A987" s="4"/>
      <c r="B987" s="5"/>
      <c r="C987" s="5"/>
      <c r="D987" s="5"/>
      <c r="W987" s="8"/>
      <c r="X987" s="10"/>
      <c r="Y987" s="10"/>
      <c r="Z987" s="10"/>
    </row>
    <row r="988" spans="1:26" x14ac:dyDescent="0.25">
      <c r="A988" s="4"/>
      <c r="B988" s="5"/>
      <c r="C988" s="5"/>
      <c r="D988" s="5"/>
      <c r="W988" s="8"/>
      <c r="X988" s="10"/>
      <c r="Y988" s="10"/>
      <c r="Z988" s="10"/>
    </row>
    <row r="989" spans="1:26" x14ac:dyDescent="0.25">
      <c r="A989" s="4"/>
      <c r="B989" s="5"/>
      <c r="C989" s="5"/>
      <c r="D989" s="5"/>
      <c r="W989" s="8"/>
      <c r="X989" s="10"/>
      <c r="Y989" s="10"/>
      <c r="Z989" s="10"/>
    </row>
    <row r="990" spans="1:26" x14ac:dyDescent="0.25">
      <c r="A990" s="4"/>
      <c r="B990" s="5"/>
      <c r="C990" s="5"/>
      <c r="D990" s="5"/>
      <c r="W990" s="8"/>
      <c r="X990" s="10"/>
      <c r="Y990" s="10"/>
      <c r="Z990" s="10"/>
    </row>
    <row r="991" spans="1:26" x14ac:dyDescent="0.25">
      <c r="A991" s="4"/>
      <c r="B991" s="5"/>
      <c r="C991" s="5"/>
      <c r="D991" s="5"/>
      <c r="W991" s="8"/>
      <c r="X991" s="10"/>
      <c r="Y991" s="10"/>
      <c r="Z991" s="10"/>
    </row>
    <row r="992" spans="1:26" x14ac:dyDescent="0.25">
      <c r="A992" s="4"/>
      <c r="B992" s="5"/>
      <c r="C992" s="5"/>
      <c r="D992" s="5"/>
      <c r="W992" s="8"/>
      <c r="X992" s="10"/>
      <c r="Y992" s="10"/>
      <c r="Z992" s="10"/>
    </row>
    <row r="993" spans="1:26" x14ac:dyDescent="0.25">
      <c r="A993" s="4"/>
      <c r="B993" s="5"/>
      <c r="C993" s="5"/>
      <c r="D993" s="5"/>
      <c r="W993" s="8"/>
      <c r="X993" s="10"/>
      <c r="Y993" s="10"/>
      <c r="Z993" s="10"/>
    </row>
    <row r="994" spans="1:26" x14ac:dyDescent="0.25">
      <c r="A994" s="4"/>
      <c r="B994" s="5"/>
      <c r="C994" s="5"/>
      <c r="D994" s="5"/>
      <c r="W994" s="8"/>
      <c r="X994" s="10"/>
      <c r="Y994" s="10"/>
      <c r="Z994" s="10"/>
    </row>
    <row r="995" spans="1:26" x14ac:dyDescent="0.25">
      <c r="A995" s="4"/>
      <c r="B995" s="5"/>
      <c r="C995" s="5"/>
      <c r="D995" s="5"/>
      <c r="W995" s="8"/>
      <c r="X995" s="10"/>
      <c r="Y995" s="10"/>
      <c r="Z995" s="10"/>
    </row>
    <row r="996" spans="1:26" x14ac:dyDescent="0.25">
      <c r="A996" s="4"/>
      <c r="B996" s="5"/>
      <c r="C996" s="5"/>
      <c r="D996" s="5"/>
      <c r="W996" s="8"/>
      <c r="X996" s="10"/>
      <c r="Y996" s="10"/>
      <c r="Z996" s="10"/>
    </row>
    <row r="997" spans="1:26" x14ac:dyDescent="0.25">
      <c r="A997" s="4"/>
      <c r="B997" s="5"/>
      <c r="C997" s="5"/>
      <c r="D997" s="5"/>
      <c r="W997" s="8"/>
      <c r="X997" s="10"/>
      <c r="Y997" s="10"/>
      <c r="Z997" s="10"/>
    </row>
    <row r="998" spans="1:26" x14ac:dyDescent="0.25">
      <c r="A998" s="4"/>
      <c r="B998" s="5"/>
      <c r="C998" s="5"/>
      <c r="D998" s="5"/>
      <c r="W998" s="8"/>
      <c r="X998" s="10"/>
      <c r="Y998" s="10"/>
      <c r="Z998" s="10"/>
    </row>
    <row r="999" spans="1:26" x14ac:dyDescent="0.25">
      <c r="A999" s="4"/>
      <c r="B999" s="5"/>
      <c r="C999" s="5"/>
      <c r="D999" s="5"/>
      <c r="W999" s="8"/>
      <c r="X999" s="10"/>
      <c r="Y999" s="10"/>
      <c r="Z999" s="10"/>
    </row>
    <row r="1000" spans="1:26" x14ac:dyDescent="0.25">
      <c r="A1000" s="4"/>
      <c r="B1000" s="5"/>
      <c r="C1000" s="5"/>
      <c r="D1000" s="5"/>
      <c r="W1000" s="8"/>
      <c r="X1000" s="10"/>
      <c r="Y1000" s="10"/>
      <c r="Z1000" s="10"/>
    </row>
    <row r="1001" spans="1:26" x14ac:dyDescent="0.25">
      <c r="A1001" s="4"/>
      <c r="B1001" s="5"/>
      <c r="C1001" s="5"/>
      <c r="D1001" s="5"/>
      <c r="W1001" s="8"/>
      <c r="X1001" s="10"/>
      <c r="Y1001" s="10"/>
      <c r="Z1001" s="10"/>
    </row>
    <row r="1002" spans="1:26" x14ac:dyDescent="0.25">
      <c r="A1002" s="4"/>
      <c r="B1002" s="5"/>
      <c r="C1002" s="5"/>
      <c r="D1002" s="5"/>
      <c r="W1002" s="8"/>
      <c r="X1002" s="10"/>
      <c r="Y1002" s="10"/>
      <c r="Z1002" s="10"/>
    </row>
    <row r="1003" spans="1:26" x14ac:dyDescent="0.25">
      <c r="A1003" s="4"/>
      <c r="B1003" s="5"/>
      <c r="C1003" s="5"/>
      <c r="D1003" s="5"/>
      <c r="W1003" s="8"/>
      <c r="X1003" s="10"/>
      <c r="Y1003" s="10"/>
      <c r="Z1003" s="10"/>
    </row>
    <row r="1004" spans="1:26" x14ac:dyDescent="0.25">
      <c r="A1004" s="4"/>
      <c r="B1004" s="5"/>
      <c r="C1004" s="5"/>
      <c r="D1004" s="5"/>
      <c r="W1004" s="8"/>
      <c r="X1004" s="10"/>
      <c r="Y1004" s="10"/>
      <c r="Z1004" s="10"/>
    </row>
    <row r="1005" spans="1:26" x14ac:dyDescent="0.25">
      <c r="A1005" s="4"/>
      <c r="B1005" s="5"/>
      <c r="C1005" s="5"/>
      <c r="D1005" s="5"/>
    </row>
    <row r="1006" spans="1:26" x14ac:dyDescent="0.25">
      <c r="A1006" s="4"/>
      <c r="B1006" s="5"/>
      <c r="C1006" s="5"/>
      <c r="D1006" s="5"/>
    </row>
    <row r="1007" spans="1:26" x14ac:dyDescent="0.25">
      <c r="A1007" s="4"/>
      <c r="B1007" s="5"/>
      <c r="C1007" s="5"/>
      <c r="D1007" s="5"/>
    </row>
    <row r="1008" spans="1:26" x14ac:dyDescent="0.25">
      <c r="A1008" s="4"/>
      <c r="B1008" s="5"/>
      <c r="C1008" s="5"/>
      <c r="D1008" s="5"/>
    </row>
    <row r="1009" spans="1:4" x14ac:dyDescent="0.25">
      <c r="A1009" s="4"/>
      <c r="B1009" s="5"/>
      <c r="C1009" s="5"/>
      <c r="D1009" s="5"/>
    </row>
    <row r="1010" spans="1:4" x14ac:dyDescent="0.25">
      <c r="A1010" s="4"/>
      <c r="B1010" s="5"/>
      <c r="C1010" s="5"/>
      <c r="D1010" s="5"/>
    </row>
    <row r="1011" spans="1:4" x14ac:dyDescent="0.25">
      <c r="A1011" s="4"/>
      <c r="B1011" s="5"/>
      <c r="C1011" s="5"/>
      <c r="D1011" s="5"/>
    </row>
    <row r="1012" spans="1:4" x14ac:dyDescent="0.25">
      <c r="A1012" s="4"/>
      <c r="B1012" s="5"/>
      <c r="C1012" s="5"/>
      <c r="D1012" s="5"/>
    </row>
    <row r="1013" spans="1:4" x14ac:dyDescent="0.25">
      <c r="A1013" s="4"/>
      <c r="B1013" s="5"/>
      <c r="C1013" s="5"/>
      <c r="D1013" s="5"/>
    </row>
    <row r="1014" spans="1:4" x14ac:dyDescent="0.25">
      <c r="A1014" s="4"/>
      <c r="B1014" s="5"/>
      <c r="C1014" s="5"/>
      <c r="D1014" s="5"/>
    </row>
    <row r="1015" spans="1:4" x14ac:dyDescent="0.25">
      <c r="A1015" s="4"/>
      <c r="B1015" s="5"/>
      <c r="C1015" s="5"/>
      <c r="D1015" s="5"/>
    </row>
    <row r="1016" spans="1:4" x14ac:dyDescent="0.25">
      <c r="A1016" s="4"/>
      <c r="B1016" s="5"/>
      <c r="C1016" s="5"/>
      <c r="D1016" s="5"/>
    </row>
    <row r="1017" spans="1:4" x14ac:dyDescent="0.25">
      <c r="A1017" s="4"/>
      <c r="B1017" s="5"/>
      <c r="C1017" s="5"/>
      <c r="D1017" s="5"/>
    </row>
    <row r="1018" spans="1:4" x14ac:dyDescent="0.25">
      <c r="A1018" s="4"/>
      <c r="B1018" s="5"/>
      <c r="C1018" s="5"/>
      <c r="D1018" s="5"/>
    </row>
    <row r="1019" spans="1:4" x14ac:dyDescent="0.25">
      <c r="A1019" s="4"/>
      <c r="B1019" s="5"/>
      <c r="C1019" s="5"/>
      <c r="D1019" s="5"/>
    </row>
    <row r="1020" spans="1:4" x14ac:dyDescent="0.25">
      <c r="A1020" s="4"/>
      <c r="B1020" s="5"/>
      <c r="C1020" s="5"/>
      <c r="D1020" s="5"/>
    </row>
    <row r="1021" spans="1:4" x14ac:dyDescent="0.25">
      <c r="A1021" s="4"/>
      <c r="B1021" s="5"/>
      <c r="C1021" s="5"/>
      <c r="D1021" s="5"/>
    </row>
    <row r="1022" spans="1:4" x14ac:dyDescent="0.25">
      <c r="A1022" s="4"/>
      <c r="B1022" s="5"/>
      <c r="C1022" s="5"/>
      <c r="D1022" s="5"/>
    </row>
    <row r="1023" spans="1:4" x14ac:dyDescent="0.25">
      <c r="A1023" s="4"/>
      <c r="B1023" s="5"/>
      <c r="C1023" s="5"/>
      <c r="D1023" s="5"/>
    </row>
    <row r="1024" spans="1:4" x14ac:dyDescent="0.25">
      <c r="A1024" s="4"/>
      <c r="B1024" s="5"/>
      <c r="C1024" s="5"/>
      <c r="D1024" s="5"/>
    </row>
    <row r="1025" spans="1:4" x14ac:dyDescent="0.25">
      <c r="A1025" s="4"/>
      <c r="B1025" s="5"/>
      <c r="C1025" s="5"/>
      <c r="D1025" s="5"/>
    </row>
    <row r="1026" spans="1:4" x14ac:dyDescent="0.25">
      <c r="A1026" s="4"/>
      <c r="B1026" s="5"/>
      <c r="C1026" s="5"/>
      <c r="D1026" s="5"/>
    </row>
    <row r="1027" spans="1:4" x14ac:dyDescent="0.25">
      <c r="A1027" s="4"/>
      <c r="B1027" s="5"/>
      <c r="C1027" s="5"/>
      <c r="D1027" s="5"/>
    </row>
    <row r="1028" spans="1:4" x14ac:dyDescent="0.25">
      <c r="A1028" s="4"/>
      <c r="B1028" s="5"/>
      <c r="C1028" s="5"/>
      <c r="D1028" s="5"/>
    </row>
    <row r="1029" spans="1:4" x14ac:dyDescent="0.25">
      <c r="A1029" s="4"/>
      <c r="B1029" s="5"/>
      <c r="C1029" s="5"/>
      <c r="D1029" s="5"/>
    </row>
    <row r="1030" spans="1:4" x14ac:dyDescent="0.25">
      <c r="A1030" s="4"/>
      <c r="B1030" s="5"/>
      <c r="C1030" s="5"/>
      <c r="D1030" s="5"/>
    </row>
    <row r="1031" spans="1:4" x14ac:dyDescent="0.25">
      <c r="A1031" s="4"/>
      <c r="B1031" s="5"/>
      <c r="C1031" s="5"/>
      <c r="D1031" s="5"/>
    </row>
    <row r="1032" spans="1:4" x14ac:dyDescent="0.25">
      <c r="A1032" s="4"/>
      <c r="B1032" s="5"/>
      <c r="C1032" s="5"/>
      <c r="D1032" s="5"/>
    </row>
    <row r="1033" spans="1:4" x14ac:dyDescent="0.25">
      <c r="A1033" s="4"/>
      <c r="B1033" s="5"/>
      <c r="C1033" s="5"/>
      <c r="D1033" s="5"/>
    </row>
    <row r="1034" spans="1:4" x14ac:dyDescent="0.25">
      <c r="A1034" s="4"/>
      <c r="B1034" s="5"/>
      <c r="C1034" s="5"/>
      <c r="D1034" s="5"/>
    </row>
    <row r="1035" spans="1:4" x14ac:dyDescent="0.25">
      <c r="A1035" s="4"/>
      <c r="B1035" s="5"/>
      <c r="C1035" s="5"/>
      <c r="D1035" s="5"/>
    </row>
    <row r="1036" spans="1:4" x14ac:dyDescent="0.25">
      <c r="A1036" s="4"/>
      <c r="B1036" s="5"/>
      <c r="C1036" s="5"/>
      <c r="D1036" s="5"/>
    </row>
    <row r="1037" spans="1:4" x14ac:dyDescent="0.25">
      <c r="A1037" s="4"/>
      <c r="B1037" s="5"/>
      <c r="C1037" s="5"/>
      <c r="D1037" s="5"/>
    </row>
    <row r="1038" spans="1:4" x14ac:dyDescent="0.25">
      <c r="A1038" s="4"/>
      <c r="B1038" s="5"/>
      <c r="C1038" s="5"/>
      <c r="D1038" s="5"/>
    </row>
    <row r="1039" spans="1:4" x14ac:dyDescent="0.25">
      <c r="A1039" s="4"/>
      <c r="B1039" s="5"/>
      <c r="C1039" s="5"/>
      <c r="D1039" s="5"/>
    </row>
    <row r="1040" spans="1:4" x14ac:dyDescent="0.25">
      <c r="A1040" s="4"/>
      <c r="B1040" s="5"/>
      <c r="C1040" s="5"/>
      <c r="D1040" s="5"/>
    </row>
    <row r="1041" spans="1:4" x14ac:dyDescent="0.25">
      <c r="A1041" s="4"/>
      <c r="B1041" s="5"/>
      <c r="C1041" s="5"/>
      <c r="D1041" s="5"/>
    </row>
    <row r="1042" spans="1:4" x14ac:dyDescent="0.25">
      <c r="A1042" s="4"/>
      <c r="B1042" s="5"/>
      <c r="C1042" s="5"/>
      <c r="D1042" s="5"/>
    </row>
    <row r="1043" spans="1:4" x14ac:dyDescent="0.25">
      <c r="A1043" s="4"/>
      <c r="B1043" s="5"/>
      <c r="C1043" s="5"/>
      <c r="D1043" s="5"/>
    </row>
    <row r="1044" spans="1:4" x14ac:dyDescent="0.25">
      <c r="A1044" s="4"/>
      <c r="B1044" s="5"/>
      <c r="C1044" s="5"/>
      <c r="D1044" s="5"/>
    </row>
    <row r="1045" spans="1:4" x14ac:dyDescent="0.25">
      <c r="A1045" s="4"/>
      <c r="B1045" s="5"/>
      <c r="C1045" s="5"/>
      <c r="D1045" s="5"/>
    </row>
    <row r="1046" spans="1:4" x14ac:dyDescent="0.25">
      <c r="A1046" s="4"/>
      <c r="B1046" s="5"/>
      <c r="C1046" s="5"/>
      <c r="D1046" s="5"/>
    </row>
    <row r="1047" spans="1:4" x14ac:dyDescent="0.25">
      <c r="A1047" s="4"/>
      <c r="B1047" s="5"/>
      <c r="C1047" s="5"/>
      <c r="D1047" s="5"/>
    </row>
    <row r="1048" spans="1:4" x14ac:dyDescent="0.25">
      <c r="A1048" s="4"/>
      <c r="B1048" s="5"/>
      <c r="C1048" s="5"/>
      <c r="D1048" s="5"/>
    </row>
    <row r="1049" spans="1:4" x14ac:dyDescent="0.25">
      <c r="A1049" s="4"/>
      <c r="B1049" s="5"/>
      <c r="C1049" s="5"/>
      <c r="D1049" s="5"/>
    </row>
    <row r="1050" spans="1:4" x14ac:dyDescent="0.25">
      <c r="A1050" s="4"/>
      <c r="B1050" s="5"/>
      <c r="C1050" s="5"/>
      <c r="D1050" s="5"/>
    </row>
    <row r="1051" spans="1:4" x14ac:dyDescent="0.25">
      <c r="A1051" s="4"/>
      <c r="B1051" s="5"/>
      <c r="C1051" s="5"/>
      <c r="D1051" s="5"/>
    </row>
    <row r="1052" spans="1:4" x14ac:dyDescent="0.25">
      <c r="A1052" s="4"/>
      <c r="B1052" s="5"/>
      <c r="C1052" s="5"/>
      <c r="D1052" s="5"/>
    </row>
    <row r="1053" spans="1:4" x14ac:dyDescent="0.25">
      <c r="A1053" s="4"/>
      <c r="B1053" s="5"/>
      <c r="C1053" s="5"/>
      <c r="D1053" s="5"/>
    </row>
    <row r="1054" spans="1:4" x14ac:dyDescent="0.25">
      <c r="A1054" s="4"/>
      <c r="B1054" s="5"/>
      <c r="C1054" s="5"/>
      <c r="D1054" s="5"/>
    </row>
    <row r="1055" spans="1:4" x14ac:dyDescent="0.25">
      <c r="A1055" s="4"/>
      <c r="B1055" s="5"/>
      <c r="C1055" s="5"/>
      <c r="D1055" s="5"/>
    </row>
    <row r="1056" spans="1:4" x14ac:dyDescent="0.25">
      <c r="A1056" s="4"/>
      <c r="B1056" s="5"/>
      <c r="C1056" s="5"/>
      <c r="D1056" s="5"/>
    </row>
    <row r="1057" spans="1:4" x14ac:dyDescent="0.25">
      <c r="A1057" s="4"/>
      <c r="B1057" s="5"/>
      <c r="C1057" s="5"/>
      <c r="D1057" s="5"/>
    </row>
    <row r="1058" spans="1:4" x14ac:dyDescent="0.25">
      <c r="A1058" s="4"/>
      <c r="B1058" s="5"/>
      <c r="C1058" s="5"/>
      <c r="D1058" s="5"/>
    </row>
    <row r="1059" spans="1:4" x14ac:dyDescent="0.25">
      <c r="A1059" s="4"/>
      <c r="B1059" s="5"/>
      <c r="C1059" s="5"/>
      <c r="D1059" s="5"/>
    </row>
    <row r="1060" spans="1:4" x14ac:dyDescent="0.25">
      <c r="A1060" s="4"/>
      <c r="B1060" s="5"/>
      <c r="C1060" s="5"/>
      <c r="D1060" s="5"/>
    </row>
    <row r="1061" spans="1:4" x14ac:dyDescent="0.25">
      <c r="A1061" s="4"/>
      <c r="B1061" s="5"/>
      <c r="C1061" s="5"/>
      <c r="D1061" s="5"/>
    </row>
    <row r="1062" spans="1:4" x14ac:dyDescent="0.25">
      <c r="A1062" s="4"/>
      <c r="B1062" s="5"/>
      <c r="C1062" s="5"/>
      <c r="D1062" s="5"/>
    </row>
    <row r="1063" spans="1:4" x14ac:dyDescent="0.25">
      <c r="A1063" s="4"/>
      <c r="B1063" s="5"/>
      <c r="C1063" s="5"/>
      <c r="D1063" s="5"/>
    </row>
    <row r="1064" spans="1:4" x14ac:dyDescent="0.25">
      <c r="A1064" s="4"/>
      <c r="B1064" s="5"/>
      <c r="C1064" s="5"/>
      <c r="D1064" s="5"/>
    </row>
    <row r="1065" spans="1:4" x14ac:dyDescent="0.25">
      <c r="A1065" s="4"/>
      <c r="B1065" s="5"/>
      <c r="C1065" s="5"/>
      <c r="D1065" s="5"/>
    </row>
    <row r="1066" spans="1:4" x14ac:dyDescent="0.25">
      <c r="A1066" s="4"/>
      <c r="B1066" s="5"/>
      <c r="C1066" s="5"/>
      <c r="D1066" s="5"/>
    </row>
    <row r="1067" spans="1:4" x14ac:dyDescent="0.25">
      <c r="A1067" s="4"/>
      <c r="B1067" s="5"/>
      <c r="C1067" s="5"/>
      <c r="D1067" s="5"/>
    </row>
    <row r="1068" spans="1:4" x14ac:dyDescent="0.25">
      <c r="A1068" s="4"/>
      <c r="B1068" s="5"/>
      <c r="C1068" s="5"/>
      <c r="D1068" s="5"/>
    </row>
    <row r="1069" spans="1:4" x14ac:dyDescent="0.25">
      <c r="A1069" s="4"/>
      <c r="B1069" s="5"/>
      <c r="C1069" s="5"/>
      <c r="D1069" s="5"/>
    </row>
    <row r="1070" spans="1:4" x14ac:dyDescent="0.25">
      <c r="A1070" s="4"/>
      <c r="B1070" s="5"/>
      <c r="C1070" s="5"/>
      <c r="D1070" s="5"/>
    </row>
    <row r="1071" spans="1:4" x14ac:dyDescent="0.25">
      <c r="A1071" s="4"/>
      <c r="B1071" s="5"/>
      <c r="C1071" s="5"/>
      <c r="D1071" s="5"/>
    </row>
    <row r="1072" spans="1:4" x14ac:dyDescent="0.25">
      <c r="A1072" s="4"/>
      <c r="B1072" s="5"/>
      <c r="C1072" s="5"/>
      <c r="D1072" s="5"/>
    </row>
    <row r="1073" spans="1:4" x14ac:dyDescent="0.25">
      <c r="A1073" s="4"/>
      <c r="B1073" s="5"/>
      <c r="C1073" s="5"/>
      <c r="D1073" s="5"/>
    </row>
    <row r="1074" spans="1:4" x14ac:dyDescent="0.25">
      <c r="A1074" s="4"/>
      <c r="B1074" s="5"/>
      <c r="C1074" s="5"/>
      <c r="D1074" s="5"/>
    </row>
    <row r="1075" spans="1:4" x14ac:dyDescent="0.25">
      <c r="A1075" s="4"/>
      <c r="B1075" s="5"/>
      <c r="C1075" s="5"/>
      <c r="D1075" s="5"/>
    </row>
    <row r="1076" spans="1:4" x14ac:dyDescent="0.25">
      <c r="A1076" s="4"/>
      <c r="B1076" s="5"/>
      <c r="C1076" s="5"/>
      <c r="D1076" s="5"/>
    </row>
    <row r="1077" spans="1:4" x14ac:dyDescent="0.25">
      <c r="A1077" s="4"/>
      <c r="B1077" s="5"/>
      <c r="C1077" s="5"/>
      <c r="D1077" s="5"/>
    </row>
    <row r="1078" spans="1:4" x14ac:dyDescent="0.25">
      <c r="A1078" s="4"/>
      <c r="B1078" s="5"/>
      <c r="C1078" s="5"/>
      <c r="D1078" s="5"/>
    </row>
    <row r="1079" spans="1:4" x14ac:dyDescent="0.25">
      <c r="A1079" s="4"/>
      <c r="B1079" s="5"/>
      <c r="C1079" s="5"/>
      <c r="D1079" s="5"/>
    </row>
    <row r="1080" spans="1:4" x14ac:dyDescent="0.25">
      <c r="A1080" s="4"/>
      <c r="B1080" s="5"/>
      <c r="C1080" s="5"/>
      <c r="D1080" s="5"/>
    </row>
    <row r="1081" spans="1:4" x14ac:dyDescent="0.25">
      <c r="A1081" s="4"/>
      <c r="B1081" s="5"/>
      <c r="C1081" s="5"/>
      <c r="D1081" s="5"/>
    </row>
    <row r="1082" spans="1:4" x14ac:dyDescent="0.25">
      <c r="A1082" s="4"/>
      <c r="B1082" s="5"/>
      <c r="C1082" s="5"/>
      <c r="D1082" s="5"/>
    </row>
    <row r="1083" spans="1:4" x14ac:dyDescent="0.25">
      <c r="A1083" s="4"/>
      <c r="B1083" s="5"/>
      <c r="C1083" s="5"/>
      <c r="D1083" s="5"/>
    </row>
    <row r="1084" spans="1:4" x14ac:dyDescent="0.25">
      <c r="A1084" s="4"/>
      <c r="B1084" s="5"/>
      <c r="C1084" s="5"/>
      <c r="D1084" s="5"/>
    </row>
    <row r="1085" spans="1:4" x14ac:dyDescent="0.25">
      <c r="A1085" s="4"/>
      <c r="B1085" s="5"/>
      <c r="C1085" s="5"/>
      <c r="D1085" s="5"/>
    </row>
    <row r="1086" spans="1:4" x14ac:dyDescent="0.25">
      <c r="A1086" s="4"/>
      <c r="B1086" s="5"/>
      <c r="C1086" s="5"/>
      <c r="D1086" s="5"/>
    </row>
    <row r="1087" spans="1:4" x14ac:dyDescent="0.25">
      <c r="A1087" s="4"/>
      <c r="B1087" s="5"/>
      <c r="C1087" s="5"/>
      <c r="D1087" s="5"/>
    </row>
    <row r="1088" spans="1:4" x14ac:dyDescent="0.25">
      <c r="A1088" s="4"/>
      <c r="B1088" s="5"/>
      <c r="C1088" s="5"/>
      <c r="D1088" s="5"/>
    </row>
    <row r="1089" spans="1:4" x14ac:dyDescent="0.25">
      <c r="A1089" s="4"/>
      <c r="B1089" s="5"/>
      <c r="C1089" s="5"/>
      <c r="D1089" s="5"/>
    </row>
    <row r="1090" spans="1:4" x14ac:dyDescent="0.25">
      <c r="A1090" s="4"/>
      <c r="B1090" s="5"/>
      <c r="C1090" s="5"/>
      <c r="D1090" s="5"/>
    </row>
    <row r="1091" spans="1:4" x14ac:dyDescent="0.25">
      <c r="A1091" s="4"/>
      <c r="B1091" s="5"/>
      <c r="C1091" s="5"/>
      <c r="D1091" s="5"/>
    </row>
    <row r="1092" spans="1:4" x14ac:dyDescent="0.25">
      <c r="A1092" s="4"/>
      <c r="B1092" s="5"/>
      <c r="C1092" s="5"/>
      <c r="D1092" s="5"/>
    </row>
    <row r="1093" spans="1:4" x14ac:dyDescent="0.25">
      <c r="A1093" s="4"/>
      <c r="B1093" s="5"/>
      <c r="C1093" s="5"/>
      <c r="D1093" s="5"/>
    </row>
    <row r="1094" spans="1:4" x14ac:dyDescent="0.25">
      <c r="A1094" s="4"/>
      <c r="B1094" s="5"/>
      <c r="C1094" s="5"/>
      <c r="D1094" s="5"/>
    </row>
    <row r="1095" spans="1:4" x14ac:dyDescent="0.25">
      <c r="A1095" s="4"/>
      <c r="B1095" s="5"/>
      <c r="C1095" s="5"/>
      <c r="D1095" s="5"/>
    </row>
    <row r="1096" spans="1:4" x14ac:dyDescent="0.25">
      <c r="A1096" s="4"/>
      <c r="B1096" s="5"/>
      <c r="C1096" s="5"/>
      <c r="D1096" s="5"/>
    </row>
    <row r="1097" spans="1:4" x14ac:dyDescent="0.25">
      <c r="A1097" s="4"/>
      <c r="B1097" s="5"/>
      <c r="C1097" s="5"/>
      <c r="D1097" s="5"/>
    </row>
    <row r="1098" spans="1:4" x14ac:dyDescent="0.25">
      <c r="A1098" s="4"/>
      <c r="B1098" s="5"/>
      <c r="C1098" s="5"/>
      <c r="D1098" s="5"/>
    </row>
    <row r="1099" spans="1:4" x14ac:dyDescent="0.25">
      <c r="A1099" s="4"/>
      <c r="B1099" s="5"/>
      <c r="C1099" s="5"/>
      <c r="D1099" s="5"/>
    </row>
    <row r="1100" spans="1:4" x14ac:dyDescent="0.25">
      <c r="A1100" s="4"/>
      <c r="B1100" s="5"/>
      <c r="C1100" s="5"/>
      <c r="D1100" s="5"/>
    </row>
    <row r="1101" spans="1:4" x14ac:dyDescent="0.25">
      <c r="A1101" s="4"/>
      <c r="B1101" s="5"/>
      <c r="C1101" s="5"/>
      <c r="D1101" s="5"/>
    </row>
    <row r="1102" spans="1:4" x14ac:dyDescent="0.25">
      <c r="A1102" s="4"/>
      <c r="B1102" s="5"/>
      <c r="C1102" s="5"/>
      <c r="D1102" s="5"/>
    </row>
    <row r="1103" spans="1:4" x14ac:dyDescent="0.25">
      <c r="A1103" s="4"/>
      <c r="B1103" s="5"/>
      <c r="C1103" s="5"/>
      <c r="D1103" s="5"/>
    </row>
    <row r="1104" spans="1:4" x14ac:dyDescent="0.25">
      <c r="A1104" s="4"/>
      <c r="B1104" s="5"/>
      <c r="C1104" s="5"/>
      <c r="D1104" s="5"/>
    </row>
    <row r="1105" spans="1:4" x14ac:dyDescent="0.25">
      <c r="A1105" s="4"/>
      <c r="B1105" s="5"/>
      <c r="C1105" s="5"/>
      <c r="D1105" s="5"/>
    </row>
    <row r="1106" spans="1:4" x14ac:dyDescent="0.25">
      <c r="A1106" s="4"/>
      <c r="B1106" s="5"/>
      <c r="C1106" s="5"/>
      <c r="D1106" s="5"/>
    </row>
    <row r="1107" spans="1:4" x14ac:dyDescent="0.25">
      <c r="A1107" s="4"/>
      <c r="B1107" s="5"/>
      <c r="C1107" s="5"/>
      <c r="D1107" s="5"/>
    </row>
    <row r="1108" spans="1:4" x14ac:dyDescent="0.25">
      <c r="A1108" s="4"/>
      <c r="B1108" s="5"/>
      <c r="C1108" s="5"/>
      <c r="D1108" s="5"/>
    </row>
    <row r="1109" spans="1:4" x14ac:dyDescent="0.25">
      <c r="A1109" s="4"/>
      <c r="B1109" s="5"/>
      <c r="C1109" s="5"/>
      <c r="D1109" s="5"/>
    </row>
    <row r="1110" spans="1:4" x14ac:dyDescent="0.25">
      <c r="A1110" s="4"/>
      <c r="B1110" s="5"/>
      <c r="C1110" s="5"/>
      <c r="D1110" s="5"/>
    </row>
    <row r="1111" spans="1:4" x14ac:dyDescent="0.25">
      <c r="A1111" s="4"/>
      <c r="B1111" s="5"/>
      <c r="C1111" s="5"/>
      <c r="D1111" s="5"/>
    </row>
    <row r="1112" spans="1:4" x14ac:dyDescent="0.25">
      <c r="A1112" s="4"/>
      <c r="B1112" s="5"/>
      <c r="C1112" s="5"/>
      <c r="D1112" s="5"/>
    </row>
    <row r="1113" spans="1:4" x14ac:dyDescent="0.25">
      <c r="A1113" s="4"/>
      <c r="B1113" s="5"/>
      <c r="C1113" s="5"/>
      <c r="D1113" s="5"/>
    </row>
    <row r="1114" spans="1:4" x14ac:dyDescent="0.25">
      <c r="A1114" s="4"/>
      <c r="B1114" s="5"/>
      <c r="C1114" s="5"/>
      <c r="D1114" s="5"/>
    </row>
    <row r="1115" spans="1:4" x14ac:dyDescent="0.25">
      <c r="A1115" s="4"/>
      <c r="B1115" s="5"/>
      <c r="C1115" s="5"/>
      <c r="D1115" s="5"/>
    </row>
    <row r="1116" spans="1:4" x14ac:dyDescent="0.25">
      <c r="A1116" s="4"/>
      <c r="B1116" s="5"/>
      <c r="C1116" s="5"/>
      <c r="D1116" s="5"/>
    </row>
    <row r="1117" spans="1:4" x14ac:dyDescent="0.25">
      <c r="A1117" s="4"/>
      <c r="B1117" s="5"/>
      <c r="C1117" s="5"/>
      <c r="D1117" s="5"/>
    </row>
    <row r="1118" spans="1:4" x14ac:dyDescent="0.25">
      <c r="A1118" s="4"/>
      <c r="B1118" s="5"/>
      <c r="C1118" s="5"/>
      <c r="D1118" s="5"/>
    </row>
    <row r="1119" spans="1:4" x14ac:dyDescent="0.25">
      <c r="A1119" s="4"/>
      <c r="B1119" s="5"/>
      <c r="C1119" s="5"/>
      <c r="D1119" s="5"/>
    </row>
    <row r="1120" spans="1:4" x14ac:dyDescent="0.25">
      <c r="A1120" s="4"/>
      <c r="B1120" s="5"/>
      <c r="C1120" s="5"/>
      <c r="D1120" s="5"/>
    </row>
    <row r="1121" spans="1:4" x14ac:dyDescent="0.25">
      <c r="A1121" s="4"/>
      <c r="B1121" s="5"/>
      <c r="C1121" s="5"/>
      <c r="D1121" s="5"/>
    </row>
    <row r="1122" spans="1:4" x14ac:dyDescent="0.25">
      <c r="A1122" s="4"/>
      <c r="B1122" s="5"/>
      <c r="C1122" s="5"/>
      <c r="D1122" s="5"/>
    </row>
    <row r="1123" spans="1:4" x14ac:dyDescent="0.25">
      <c r="A1123" s="4"/>
      <c r="B1123" s="5"/>
      <c r="C1123" s="5"/>
      <c r="D1123" s="5"/>
    </row>
    <row r="1124" spans="1:4" x14ac:dyDescent="0.25">
      <c r="A1124" s="4"/>
      <c r="B1124" s="5"/>
      <c r="C1124" s="5"/>
      <c r="D1124" s="5"/>
    </row>
    <row r="1125" spans="1:4" x14ac:dyDescent="0.25">
      <c r="A1125" s="4"/>
      <c r="B1125" s="5"/>
      <c r="C1125" s="5"/>
      <c r="D1125" s="5"/>
    </row>
    <row r="1126" spans="1:4" x14ac:dyDescent="0.25">
      <c r="A1126" s="4"/>
      <c r="B1126" s="5"/>
      <c r="C1126" s="5"/>
      <c r="D1126" s="5"/>
    </row>
    <row r="1127" spans="1:4" x14ac:dyDescent="0.25">
      <c r="A1127" s="4"/>
      <c r="B1127" s="5"/>
      <c r="C1127" s="5"/>
      <c r="D1127" s="5"/>
    </row>
    <row r="1128" spans="1:4" x14ac:dyDescent="0.25">
      <c r="A1128" s="4"/>
      <c r="B1128" s="5"/>
      <c r="C1128" s="5"/>
      <c r="D1128" s="5"/>
    </row>
    <row r="1129" spans="1:4" x14ac:dyDescent="0.25">
      <c r="A1129" s="4"/>
      <c r="B1129" s="5"/>
      <c r="C1129" s="5"/>
      <c r="D1129" s="5"/>
    </row>
    <row r="1130" spans="1:4" x14ac:dyDescent="0.25">
      <c r="A1130" s="4"/>
      <c r="B1130" s="5"/>
      <c r="C1130" s="5"/>
      <c r="D1130" s="5"/>
    </row>
    <row r="1131" spans="1:4" x14ac:dyDescent="0.25">
      <c r="A1131" s="4"/>
      <c r="B1131" s="5"/>
      <c r="C1131" s="5"/>
      <c r="D1131" s="5"/>
    </row>
    <row r="1132" spans="1:4" x14ac:dyDescent="0.25">
      <c r="A1132" s="4"/>
      <c r="B1132" s="5"/>
      <c r="C1132" s="5"/>
      <c r="D1132" s="5"/>
    </row>
    <row r="1133" spans="1:4" x14ac:dyDescent="0.25">
      <c r="A1133" s="4"/>
      <c r="B1133" s="5"/>
      <c r="C1133" s="5"/>
      <c r="D1133" s="5"/>
    </row>
    <row r="1134" spans="1:4" x14ac:dyDescent="0.25">
      <c r="A1134" s="4"/>
      <c r="B1134" s="5"/>
      <c r="C1134" s="5"/>
      <c r="D1134" s="5"/>
    </row>
    <row r="1135" spans="1:4" x14ac:dyDescent="0.25">
      <c r="A1135" s="4"/>
      <c r="B1135" s="5"/>
      <c r="C1135" s="5"/>
      <c r="D1135" s="5"/>
    </row>
    <row r="1136" spans="1:4" x14ac:dyDescent="0.25">
      <c r="A1136" s="4"/>
      <c r="B1136" s="5"/>
      <c r="C1136" s="5"/>
      <c r="D1136" s="5"/>
    </row>
    <row r="1137" spans="1:4" x14ac:dyDescent="0.25">
      <c r="A1137" s="4"/>
      <c r="B1137" s="5"/>
      <c r="C1137" s="5"/>
      <c r="D1137" s="5"/>
    </row>
    <row r="1138" spans="1:4" x14ac:dyDescent="0.25">
      <c r="A1138" s="4"/>
      <c r="B1138" s="5"/>
      <c r="C1138" s="5"/>
      <c r="D1138" s="5"/>
    </row>
    <row r="1139" spans="1:4" x14ac:dyDescent="0.25">
      <c r="A1139" s="4"/>
      <c r="B1139" s="5"/>
      <c r="C1139" s="5"/>
      <c r="D1139" s="5"/>
    </row>
    <row r="1140" spans="1:4" x14ac:dyDescent="0.25">
      <c r="A1140" s="4"/>
      <c r="B1140" s="5"/>
      <c r="C1140" s="5"/>
      <c r="D1140" s="5"/>
    </row>
    <row r="1141" spans="1:4" x14ac:dyDescent="0.25">
      <c r="A1141" s="4"/>
      <c r="B1141" s="5"/>
      <c r="C1141" s="5"/>
      <c r="D1141" s="5"/>
    </row>
    <row r="1142" spans="1:4" x14ac:dyDescent="0.25">
      <c r="A1142" s="4"/>
      <c r="B1142" s="5"/>
      <c r="C1142" s="5"/>
      <c r="D1142" s="5"/>
    </row>
    <row r="1143" spans="1:4" x14ac:dyDescent="0.25">
      <c r="A1143" s="4"/>
      <c r="B1143" s="5"/>
      <c r="C1143" s="5"/>
      <c r="D1143" s="5"/>
    </row>
    <row r="1144" spans="1:4" x14ac:dyDescent="0.25">
      <c r="A1144" s="4"/>
      <c r="B1144" s="5"/>
      <c r="C1144" s="5"/>
      <c r="D1144" s="5"/>
    </row>
    <row r="1145" spans="1:4" x14ac:dyDescent="0.25">
      <c r="A1145" s="4"/>
      <c r="B1145" s="5"/>
      <c r="C1145" s="5"/>
      <c r="D1145" s="5"/>
    </row>
    <row r="1146" spans="1:4" x14ac:dyDescent="0.25">
      <c r="A1146" s="4"/>
      <c r="B1146" s="5"/>
      <c r="C1146" s="5"/>
      <c r="D1146" s="5"/>
    </row>
    <row r="1147" spans="1:4" x14ac:dyDescent="0.25">
      <c r="A1147" s="4"/>
      <c r="B1147" s="5"/>
      <c r="C1147" s="5"/>
      <c r="D1147" s="5"/>
    </row>
    <row r="1148" spans="1:4" x14ac:dyDescent="0.25">
      <c r="A1148" s="4"/>
      <c r="B1148" s="5"/>
      <c r="C1148" s="5"/>
      <c r="D1148" s="5"/>
    </row>
    <row r="1149" spans="1:4" x14ac:dyDescent="0.25">
      <c r="A1149" s="4"/>
      <c r="B1149" s="5"/>
      <c r="C1149" s="5"/>
      <c r="D1149" s="5"/>
    </row>
    <row r="1150" spans="1:4" x14ac:dyDescent="0.25">
      <c r="A1150" s="4"/>
      <c r="B1150" s="5"/>
      <c r="C1150" s="5"/>
      <c r="D1150" s="5"/>
    </row>
    <row r="1151" spans="1:4" x14ac:dyDescent="0.25">
      <c r="A1151" s="4"/>
      <c r="B1151" s="5"/>
      <c r="C1151" s="5"/>
      <c r="D1151" s="5"/>
    </row>
    <row r="1152" spans="1:4" x14ac:dyDescent="0.25">
      <c r="A1152" s="4"/>
      <c r="B1152" s="5"/>
      <c r="C1152" s="5"/>
      <c r="D1152" s="5"/>
    </row>
    <row r="1153" spans="1:4" x14ac:dyDescent="0.25">
      <c r="A1153" s="4"/>
      <c r="B1153" s="5"/>
      <c r="C1153" s="5"/>
      <c r="D1153" s="5"/>
    </row>
    <row r="1154" spans="1:4" x14ac:dyDescent="0.25">
      <c r="A1154" s="4"/>
      <c r="B1154" s="5"/>
      <c r="C1154" s="5"/>
      <c r="D1154" s="5"/>
    </row>
    <row r="1155" spans="1:4" x14ac:dyDescent="0.25">
      <c r="A1155" s="4"/>
      <c r="B1155" s="5"/>
      <c r="C1155" s="5"/>
      <c r="D1155" s="5"/>
    </row>
    <row r="1156" spans="1:4" x14ac:dyDescent="0.25">
      <c r="A1156" s="4"/>
      <c r="B1156" s="5"/>
      <c r="C1156" s="5"/>
      <c r="D1156" s="5"/>
    </row>
    <row r="1157" spans="1:4" x14ac:dyDescent="0.25">
      <c r="A1157" s="4"/>
      <c r="B1157" s="5"/>
      <c r="C1157" s="5"/>
      <c r="D1157" s="5"/>
    </row>
    <row r="1158" spans="1:4" x14ac:dyDescent="0.25">
      <c r="A1158" s="4"/>
      <c r="B1158" s="5"/>
      <c r="C1158" s="5"/>
      <c r="D1158" s="5"/>
    </row>
    <row r="1159" spans="1:4" x14ac:dyDescent="0.25">
      <c r="A1159" s="4"/>
      <c r="B1159" s="5"/>
      <c r="C1159" s="5"/>
      <c r="D1159" s="5"/>
    </row>
    <row r="1160" spans="1:4" x14ac:dyDescent="0.25">
      <c r="A1160" s="4"/>
      <c r="B1160" s="5"/>
      <c r="C1160" s="5"/>
      <c r="D1160" s="5"/>
    </row>
    <row r="1161" spans="1:4" x14ac:dyDescent="0.25">
      <c r="A1161" s="4"/>
      <c r="B1161" s="5"/>
      <c r="C1161" s="5"/>
      <c r="D1161" s="5"/>
    </row>
    <row r="1162" spans="1:4" x14ac:dyDescent="0.25">
      <c r="A1162" s="4"/>
      <c r="B1162" s="5"/>
      <c r="C1162" s="5"/>
      <c r="D1162" s="5"/>
    </row>
    <row r="1163" spans="1:4" x14ac:dyDescent="0.25">
      <c r="A1163" s="4"/>
      <c r="B1163" s="5"/>
      <c r="C1163" s="5"/>
      <c r="D1163" s="5"/>
    </row>
    <row r="1164" spans="1:4" x14ac:dyDescent="0.25">
      <c r="A1164" s="4"/>
      <c r="B1164" s="5"/>
      <c r="C1164" s="5"/>
      <c r="D1164" s="5"/>
    </row>
    <row r="1165" spans="1:4" x14ac:dyDescent="0.25">
      <c r="A1165" s="4"/>
      <c r="B1165" s="5"/>
      <c r="C1165" s="5"/>
      <c r="D1165" s="5"/>
    </row>
    <row r="1166" spans="1:4" x14ac:dyDescent="0.25">
      <c r="A1166" s="4"/>
      <c r="B1166" s="5"/>
      <c r="C1166" s="5"/>
      <c r="D1166" s="5"/>
    </row>
    <row r="1167" spans="1:4" x14ac:dyDescent="0.25">
      <c r="A1167" s="4"/>
      <c r="B1167" s="5"/>
      <c r="C1167" s="5"/>
      <c r="D1167" s="5"/>
    </row>
    <row r="1168" spans="1:4" x14ac:dyDescent="0.25">
      <c r="A1168" s="4"/>
      <c r="B1168" s="5"/>
      <c r="C1168" s="5"/>
      <c r="D1168" s="5"/>
    </row>
    <row r="1169" spans="1:4" x14ac:dyDescent="0.25">
      <c r="A1169" s="4"/>
      <c r="B1169" s="5"/>
      <c r="C1169" s="5"/>
      <c r="D1169" s="5"/>
    </row>
    <row r="1170" spans="1:4" x14ac:dyDescent="0.25">
      <c r="A1170" s="4"/>
      <c r="B1170" s="5"/>
      <c r="C1170" s="5"/>
      <c r="D1170" s="5"/>
    </row>
    <row r="1171" spans="1:4" x14ac:dyDescent="0.25">
      <c r="A1171" s="4"/>
      <c r="B1171" s="5"/>
      <c r="C1171" s="5"/>
      <c r="D1171" s="5"/>
    </row>
    <row r="1172" spans="1:4" x14ac:dyDescent="0.25">
      <c r="A1172" s="4"/>
      <c r="B1172" s="5"/>
      <c r="C1172" s="5"/>
      <c r="D1172" s="5"/>
    </row>
    <row r="1173" spans="1:4" x14ac:dyDescent="0.25">
      <c r="A1173" s="4"/>
      <c r="B1173" s="5"/>
      <c r="C1173" s="5"/>
      <c r="D1173" s="5"/>
    </row>
    <row r="1174" spans="1:4" x14ac:dyDescent="0.25">
      <c r="A1174" s="4"/>
      <c r="B1174" s="5"/>
      <c r="C1174" s="5"/>
      <c r="D1174" s="5"/>
    </row>
    <row r="1175" spans="1:4" x14ac:dyDescent="0.25">
      <c r="A1175" s="4"/>
      <c r="B1175" s="5"/>
      <c r="C1175" s="5"/>
      <c r="D1175" s="5"/>
    </row>
    <row r="1176" spans="1:4" x14ac:dyDescent="0.25">
      <c r="A1176" s="4"/>
      <c r="B1176" s="5"/>
      <c r="C1176" s="5"/>
      <c r="D1176" s="5"/>
    </row>
    <row r="1177" spans="1:4" x14ac:dyDescent="0.25">
      <c r="A1177" s="4"/>
      <c r="B1177" s="5"/>
      <c r="C1177" s="5"/>
      <c r="D1177" s="5"/>
    </row>
    <row r="1178" spans="1:4" x14ac:dyDescent="0.25">
      <c r="A1178" s="4"/>
      <c r="B1178" s="5"/>
      <c r="C1178" s="5"/>
      <c r="D1178" s="5"/>
    </row>
    <row r="1179" spans="1:4" x14ac:dyDescent="0.25">
      <c r="A1179" s="4"/>
      <c r="B1179" s="5"/>
      <c r="C1179" s="5"/>
      <c r="D1179" s="5"/>
    </row>
    <row r="1180" spans="1:4" x14ac:dyDescent="0.25">
      <c r="A1180" s="4"/>
      <c r="B1180" s="5"/>
      <c r="C1180" s="5"/>
      <c r="D1180" s="5"/>
    </row>
    <row r="1181" spans="1:4" x14ac:dyDescent="0.25">
      <c r="A1181" s="4"/>
      <c r="B1181" s="5"/>
      <c r="C1181" s="5"/>
      <c r="D1181" s="5"/>
    </row>
    <row r="1182" spans="1:4" x14ac:dyDescent="0.25">
      <c r="A1182" s="4"/>
      <c r="B1182" s="5"/>
      <c r="C1182" s="5"/>
      <c r="D1182" s="5"/>
    </row>
    <row r="1183" spans="1:4" x14ac:dyDescent="0.25">
      <c r="A1183" s="4"/>
      <c r="B1183" s="5"/>
      <c r="C1183" s="5"/>
      <c r="D1183" s="5"/>
    </row>
    <row r="1184" spans="1:4" x14ac:dyDescent="0.25">
      <c r="A1184" s="4"/>
      <c r="B1184" s="5"/>
      <c r="C1184" s="5"/>
      <c r="D1184" s="5"/>
    </row>
    <row r="1185" spans="1:4" x14ac:dyDescent="0.25">
      <c r="A1185" s="4"/>
      <c r="B1185" s="5"/>
      <c r="C1185" s="5"/>
      <c r="D1185" s="5"/>
    </row>
    <row r="1186" spans="1:4" x14ac:dyDescent="0.25">
      <c r="A1186" s="4"/>
      <c r="B1186" s="5"/>
      <c r="C1186" s="5"/>
      <c r="D1186" s="5"/>
    </row>
    <row r="1187" spans="1:4" x14ac:dyDescent="0.25">
      <c r="A1187" s="4"/>
      <c r="B1187" s="5"/>
      <c r="C1187" s="5"/>
      <c r="D1187" s="5"/>
    </row>
    <row r="1188" spans="1:4" x14ac:dyDescent="0.25">
      <c r="A1188" s="4"/>
      <c r="B1188" s="5"/>
      <c r="C1188" s="5"/>
      <c r="D1188" s="5"/>
    </row>
    <row r="1189" spans="1:4" x14ac:dyDescent="0.25">
      <c r="A1189" s="4"/>
      <c r="B1189" s="5"/>
      <c r="C1189" s="5"/>
      <c r="D1189" s="5"/>
    </row>
    <row r="1190" spans="1:4" x14ac:dyDescent="0.25">
      <c r="A1190" s="4"/>
      <c r="B1190" s="5"/>
      <c r="C1190" s="5"/>
      <c r="D1190" s="5"/>
    </row>
    <row r="1191" spans="1:4" x14ac:dyDescent="0.25">
      <c r="A1191" s="4"/>
      <c r="B1191" s="5"/>
      <c r="C1191" s="5"/>
      <c r="D1191" s="5"/>
    </row>
    <row r="1192" spans="1:4" x14ac:dyDescent="0.25">
      <c r="A1192" s="4"/>
      <c r="B1192" s="5"/>
      <c r="C1192" s="5"/>
      <c r="D1192" s="5"/>
    </row>
    <row r="1193" spans="1:4" x14ac:dyDescent="0.25">
      <c r="A1193" s="4"/>
      <c r="B1193" s="5"/>
      <c r="C1193" s="5"/>
      <c r="D1193" s="5"/>
    </row>
    <row r="1194" spans="1:4" x14ac:dyDescent="0.25">
      <c r="A1194" s="4"/>
      <c r="B1194" s="5"/>
      <c r="C1194" s="5"/>
      <c r="D1194" s="5"/>
    </row>
    <row r="1195" spans="1:4" x14ac:dyDescent="0.25">
      <c r="A1195" s="4"/>
      <c r="B1195" s="5"/>
      <c r="C1195" s="5"/>
      <c r="D1195" s="5"/>
    </row>
    <row r="1196" spans="1:4" x14ac:dyDescent="0.25">
      <c r="A1196" s="4"/>
      <c r="B1196" s="5"/>
      <c r="C1196" s="5"/>
      <c r="D1196" s="5"/>
    </row>
    <row r="1197" spans="1:4" x14ac:dyDescent="0.25">
      <c r="A1197" s="4"/>
      <c r="B1197" s="5"/>
      <c r="C1197" s="5"/>
      <c r="D1197" s="5"/>
    </row>
    <row r="1198" spans="1:4" x14ac:dyDescent="0.25">
      <c r="A1198" s="4"/>
      <c r="B1198" s="5"/>
      <c r="C1198" s="5"/>
      <c r="D1198" s="5"/>
    </row>
    <row r="1199" spans="1:4" x14ac:dyDescent="0.25">
      <c r="A1199" s="4"/>
      <c r="B1199" s="5"/>
      <c r="C1199" s="5"/>
      <c r="D1199" s="5"/>
    </row>
    <row r="1200" spans="1:4" x14ac:dyDescent="0.25">
      <c r="A1200" s="4"/>
      <c r="B1200" s="5"/>
      <c r="C1200" s="5"/>
      <c r="D1200" s="5"/>
    </row>
    <row r="1201" spans="1:4" x14ac:dyDescent="0.25">
      <c r="A1201" s="4"/>
      <c r="B1201" s="5"/>
      <c r="C1201" s="5"/>
      <c r="D1201" s="5"/>
    </row>
    <row r="1202" spans="1:4" x14ac:dyDescent="0.25">
      <c r="A1202" s="4"/>
      <c r="B1202" s="5"/>
      <c r="C1202" s="5"/>
      <c r="D1202" s="5"/>
    </row>
    <row r="1203" spans="1:4" x14ac:dyDescent="0.25">
      <c r="A1203" s="4"/>
      <c r="B1203" s="5"/>
      <c r="C1203" s="5"/>
      <c r="D1203" s="5"/>
    </row>
    <row r="1204" spans="1:4" x14ac:dyDescent="0.25">
      <c r="A1204" s="4"/>
      <c r="B1204" s="5"/>
      <c r="C1204" s="5"/>
      <c r="D1204" s="5"/>
    </row>
    <row r="1205" spans="1:4" x14ac:dyDescent="0.25">
      <c r="A1205" s="4"/>
      <c r="B1205" s="5"/>
      <c r="C1205" s="5"/>
      <c r="D1205" s="5"/>
    </row>
    <row r="1206" spans="1:4" x14ac:dyDescent="0.25">
      <c r="A1206" s="4"/>
      <c r="B1206" s="5"/>
      <c r="C1206" s="5"/>
      <c r="D1206" s="5"/>
    </row>
    <row r="1207" spans="1:4" x14ac:dyDescent="0.25">
      <c r="A1207" s="4"/>
      <c r="B1207" s="5"/>
      <c r="C1207" s="5"/>
      <c r="D1207" s="5"/>
    </row>
    <row r="1208" spans="1:4" x14ac:dyDescent="0.25">
      <c r="A1208" s="4"/>
      <c r="B1208" s="5"/>
      <c r="C1208" s="5"/>
      <c r="D1208" s="5"/>
    </row>
    <row r="1209" spans="1:4" x14ac:dyDescent="0.25">
      <c r="A1209" s="4"/>
      <c r="B1209" s="5"/>
      <c r="C1209" s="5"/>
      <c r="D1209" s="5"/>
    </row>
    <row r="1210" spans="1:4" x14ac:dyDescent="0.25">
      <c r="A1210" s="4"/>
      <c r="B1210" s="5"/>
      <c r="C1210" s="5"/>
      <c r="D1210" s="5"/>
    </row>
    <row r="1211" spans="1:4" x14ac:dyDescent="0.25">
      <c r="A1211" s="4"/>
      <c r="B1211" s="5"/>
      <c r="C1211" s="5"/>
      <c r="D1211" s="5"/>
    </row>
    <row r="1212" spans="1:4" x14ac:dyDescent="0.25">
      <c r="A1212" s="4"/>
      <c r="B1212" s="5"/>
      <c r="C1212" s="5"/>
      <c r="D1212" s="5"/>
    </row>
    <row r="1213" spans="1:4" x14ac:dyDescent="0.25">
      <c r="A1213" s="4"/>
      <c r="B1213" s="5"/>
      <c r="C1213" s="5"/>
      <c r="D1213" s="5"/>
    </row>
    <row r="1214" spans="1:4" x14ac:dyDescent="0.25">
      <c r="A1214" s="4"/>
      <c r="B1214" s="5"/>
      <c r="C1214" s="5"/>
      <c r="D1214" s="5"/>
    </row>
    <row r="1215" spans="1:4" x14ac:dyDescent="0.25">
      <c r="A1215" s="4"/>
      <c r="B1215" s="5"/>
      <c r="C1215" s="5"/>
      <c r="D1215" s="5"/>
    </row>
    <row r="1216" spans="1:4" x14ac:dyDescent="0.25">
      <c r="A1216" s="4"/>
      <c r="B1216" s="5"/>
      <c r="C1216" s="5"/>
      <c r="D1216" s="5"/>
    </row>
    <row r="1217" spans="1:4" x14ac:dyDescent="0.25">
      <c r="A1217" s="4"/>
      <c r="B1217" s="5"/>
      <c r="C1217" s="5"/>
      <c r="D1217" s="5"/>
    </row>
    <row r="1218" spans="1:4" x14ac:dyDescent="0.25">
      <c r="A1218" s="4"/>
      <c r="B1218" s="5"/>
      <c r="C1218" s="5"/>
      <c r="D1218" s="5"/>
    </row>
    <row r="1219" spans="1:4" x14ac:dyDescent="0.25">
      <c r="A1219" s="4"/>
      <c r="B1219" s="5"/>
      <c r="C1219" s="5"/>
      <c r="D1219" s="5"/>
    </row>
    <row r="1220" spans="1:4" x14ac:dyDescent="0.25">
      <c r="A1220" s="4"/>
      <c r="B1220" s="5"/>
      <c r="C1220" s="5"/>
      <c r="D1220" s="5"/>
    </row>
    <row r="1221" spans="1:4" x14ac:dyDescent="0.25">
      <c r="A1221" s="4"/>
      <c r="B1221" s="5"/>
      <c r="C1221" s="5"/>
      <c r="D1221" s="5"/>
    </row>
    <row r="1222" spans="1:4" x14ac:dyDescent="0.25">
      <c r="A1222" s="4"/>
      <c r="B1222" s="5"/>
      <c r="C1222" s="5"/>
      <c r="D1222" s="5"/>
    </row>
    <row r="1223" spans="1:4" x14ac:dyDescent="0.25">
      <c r="A1223" s="4"/>
      <c r="B1223" s="5"/>
      <c r="C1223" s="5"/>
      <c r="D1223" s="5"/>
    </row>
    <row r="1224" spans="1:4" x14ac:dyDescent="0.25">
      <c r="A1224" s="4"/>
      <c r="B1224" s="5"/>
      <c r="C1224" s="5"/>
      <c r="D1224" s="5"/>
    </row>
    <row r="1225" spans="1:4" x14ac:dyDescent="0.25">
      <c r="A1225" s="4"/>
      <c r="B1225" s="5"/>
      <c r="C1225" s="5"/>
      <c r="D1225" s="5"/>
    </row>
    <row r="1226" spans="1:4" x14ac:dyDescent="0.25">
      <c r="A1226" s="4"/>
      <c r="B1226" s="5"/>
      <c r="C1226" s="5"/>
      <c r="D1226" s="5"/>
    </row>
    <row r="1227" spans="1:4" x14ac:dyDescent="0.25">
      <c r="A1227" s="4"/>
      <c r="B1227" s="5"/>
      <c r="C1227" s="5"/>
      <c r="D1227" s="5"/>
    </row>
    <row r="1228" spans="1:4" x14ac:dyDescent="0.25">
      <c r="A1228" s="4"/>
      <c r="B1228" s="5"/>
      <c r="C1228" s="5"/>
      <c r="D1228" s="5"/>
    </row>
    <row r="1229" spans="1:4" x14ac:dyDescent="0.25">
      <c r="A1229" s="4"/>
      <c r="B1229" s="5"/>
      <c r="C1229" s="5"/>
      <c r="D1229" s="5"/>
    </row>
    <row r="1230" spans="1:4" x14ac:dyDescent="0.25">
      <c r="A1230" s="4"/>
      <c r="B1230" s="5"/>
      <c r="C1230" s="5"/>
      <c r="D1230" s="5"/>
    </row>
    <row r="1231" spans="1:4" x14ac:dyDescent="0.25">
      <c r="A1231" s="4"/>
      <c r="B1231" s="5"/>
      <c r="C1231" s="5"/>
      <c r="D1231" s="5"/>
    </row>
    <row r="1232" spans="1:4" x14ac:dyDescent="0.25">
      <c r="A1232" s="4"/>
      <c r="B1232" s="5"/>
      <c r="C1232" s="5"/>
      <c r="D1232" s="5"/>
    </row>
    <row r="1233" spans="1:4" x14ac:dyDescent="0.25">
      <c r="A1233" s="4"/>
      <c r="B1233" s="5"/>
      <c r="C1233" s="5"/>
      <c r="D1233" s="5"/>
    </row>
    <row r="1234" spans="1:4" x14ac:dyDescent="0.25">
      <c r="A1234" s="4"/>
      <c r="B1234" s="5"/>
      <c r="C1234" s="5"/>
      <c r="D1234" s="5"/>
    </row>
    <row r="1235" spans="1:4" x14ac:dyDescent="0.25">
      <c r="A1235" s="4"/>
      <c r="B1235" s="5"/>
      <c r="C1235" s="5"/>
      <c r="D1235" s="5"/>
    </row>
    <row r="1236" spans="1:4" x14ac:dyDescent="0.25">
      <c r="A1236" s="4"/>
      <c r="B1236" s="5"/>
      <c r="C1236" s="5"/>
      <c r="D1236" s="5"/>
    </row>
    <row r="1237" spans="1:4" x14ac:dyDescent="0.25">
      <c r="A1237" s="4"/>
      <c r="B1237" s="5"/>
      <c r="C1237" s="5"/>
      <c r="D1237" s="5"/>
    </row>
    <row r="1238" spans="1:4" x14ac:dyDescent="0.25">
      <c r="A1238" s="4"/>
      <c r="B1238" s="5"/>
      <c r="C1238" s="5"/>
      <c r="D1238" s="5"/>
    </row>
    <row r="1239" spans="1:4" x14ac:dyDescent="0.25">
      <c r="A1239" s="4"/>
      <c r="B1239" s="5"/>
      <c r="C1239" s="5"/>
      <c r="D1239" s="5"/>
    </row>
    <row r="1240" spans="1:4" x14ac:dyDescent="0.25">
      <c r="A1240" s="4"/>
      <c r="B1240" s="5"/>
      <c r="C1240" s="5"/>
      <c r="D1240" s="5"/>
    </row>
    <row r="1241" spans="1:4" x14ac:dyDescent="0.25">
      <c r="A1241" s="4"/>
      <c r="B1241" s="5"/>
      <c r="C1241" s="5"/>
      <c r="D1241" s="5"/>
    </row>
    <row r="1242" spans="1:4" x14ac:dyDescent="0.25">
      <c r="A1242" s="4"/>
      <c r="B1242" s="5"/>
      <c r="C1242" s="5"/>
      <c r="D1242" s="5"/>
    </row>
    <row r="1243" spans="1:4" x14ac:dyDescent="0.25">
      <c r="A1243" s="4"/>
      <c r="B1243" s="5"/>
      <c r="C1243" s="5"/>
      <c r="D1243" s="5"/>
    </row>
    <row r="1244" spans="1:4" x14ac:dyDescent="0.25">
      <c r="A1244" s="4"/>
      <c r="B1244" s="5"/>
      <c r="C1244" s="5"/>
      <c r="D1244" s="5"/>
    </row>
    <row r="1245" spans="1:4" x14ac:dyDescent="0.25">
      <c r="A1245" s="4"/>
      <c r="B1245" s="5"/>
      <c r="C1245" s="5"/>
      <c r="D1245" s="5"/>
    </row>
    <row r="1246" spans="1:4" x14ac:dyDescent="0.25">
      <c r="A1246" s="4"/>
      <c r="B1246" s="5"/>
      <c r="C1246" s="5"/>
      <c r="D1246" s="5"/>
    </row>
    <row r="1247" spans="1:4" x14ac:dyDescent="0.25">
      <c r="A1247" s="4"/>
      <c r="B1247" s="5"/>
      <c r="C1247" s="5"/>
      <c r="D1247" s="5"/>
    </row>
    <row r="1248" spans="1:4" x14ac:dyDescent="0.25">
      <c r="A1248" s="4"/>
      <c r="B1248" s="5"/>
      <c r="C1248" s="5"/>
      <c r="D1248" s="5"/>
    </row>
    <row r="1249" spans="1:4" x14ac:dyDescent="0.25">
      <c r="A1249" s="4"/>
      <c r="B1249" s="5"/>
      <c r="C1249" s="5"/>
      <c r="D1249" s="5"/>
    </row>
    <row r="1250" spans="1:4" x14ac:dyDescent="0.25">
      <c r="A1250" s="4"/>
      <c r="B1250" s="5"/>
      <c r="C1250" s="5"/>
      <c r="D1250" s="5"/>
    </row>
    <row r="1251" spans="1:4" x14ac:dyDescent="0.25">
      <c r="A1251" s="4"/>
      <c r="B1251" s="5"/>
      <c r="C1251" s="5"/>
      <c r="D1251" s="5"/>
    </row>
    <row r="1252" spans="1:4" x14ac:dyDescent="0.25">
      <c r="A1252" s="4"/>
      <c r="B1252" s="5"/>
      <c r="C1252" s="5"/>
      <c r="D1252" s="5"/>
    </row>
    <row r="1253" spans="1:4" x14ac:dyDescent="0.25">
      <c r="A1253" s="4"/>
      <c r="B1253" s="5"/>
      <c r="C1253" s="5"/>
      <c r="D1253" s="5"/>
    </row>
    <row r="1254" spans="1:4" x14ac:dyDescent="0.25">
      <c r="A1254" s="4"/>
      <c r="B1254" s="5"/>
      <c r="C1254" s="5"/>
      <c r="D1254" s="5"/>
    </row>
    <row r="1255" spans="1:4" x14ac:dyDescent="0.25">
      <c r="A1255" s="4"/>
      <c r="B1255" s="5"/>
      <c r="C1255" s="5"/>
      <c r="D1255" s="5"/>
    </row>
    <row r="1256" spans="1:4" x14ac:dyDescent="0.25">
      <c r="A1256" s="4"/>
      <c r="B1256" s="5"/>
      <c r="C1256" s="5"/>
      <c r="D1256" s="5"/>
    </row>
    <row r="1257" spans="1:4" x14ac:dyDescent="0.25">
      <c r="A1257" s="4"/>
      <c r="B1257" s="5"/>
      <c r="C1257" s="5"/>
      <c r="D1257" s="5"/>
    </row>
    <row r="1258" spans="1:4" x14ac:dyDescent="0.25">
      <c r="A1258" s="4"/>
      <c r="B1258" s="5"/>
      <c r="C1258" s="5"/>
      <c r="D1258" s="5"/>
    </row>
    <row r="1259" spans="1:4" x14ac:dyDescent="0.25">
      <c r="A1259" s="4"/>
      <c r="B1259" s="5"/>
      <c r="C1259" s="5"/>
      <c r="D1259" s="5"/>
    </row>
    <row r="1260" spans="1:4" x14ac:dyDescent="0.25">
      <c r="A1260" s="4"/>
      <c r="B1260" s="5"/>
      <c r="C1260" s="5"/>
      <c r="D1260" s="5"/>
    </row>
    <row r="1261" spans="1:4" x14ac:dyDescent="0.25">
      <c r="A1261" s="4"/>
      <c r="B1261" s="5"/>
      <c r="C1261" s="5"/>
      <c r="D1261" s="5"/>
    </row>
    <row r="1262" spans="1:4" x14ac:dyDescent="0.25">
      <c r="A1262" s="4"/>
      <c r="B1262" s="5"/>
      <c r="C1262" s="5"/>
      <c r="D1262" s="5"/>
    </row>
    <row r="1263" spans="1:4" x14ac:dyDescent="0.25">
      <c r="A1263" s="4"/>
      <c r="B1263" s="5"/>
      <c r="C1263" s="5"/>
      <c r="D1263" s="5"/>
    </row>
    <row r="1264" spans="1:4" x14ac:dyDescent="0.25">
      <c r="A1264" s="4"/>
      <c r="B1264" s="5"/>
      <c r="C1264" s="5"/>
      <c r="D1264" s="5"/>
    </row>
    <row r="1265" spans="1:4" x14ac:dyDescent="0.25">
      <c r="A1265" s="4"/>
      <c r="B1265" s="5"/>
      <c r="C1265" s="5"/>
      <c r="D1265" s="5"/>
    </row>
    <row r="1266" spans="1:4" x14ac:dyDescent="0.25">
      <c r="A1266" s="4"/>
      <c r="B1266" s="5"/>
      <c r="C1266" s="5"/>
      <c r="D1266" s="5"/>
    </row>
    <row r="1267" spans="1:4" x14ac:dyDescent="0.25">
      <c r="A1267" s="4"/>
      <c r="B1267" s="5"/>
      <c r="C1267" s="5"/>
      <c r="D1267" s="5"/>
    </row>
    <row r="1268" spans="1:4" x14ac:dyDescent="0.25">
      <c r="A1268" s="4"/>
      <c r="B1268" s="5"/>
      <c r="C1268" s="5"/>
      <c r="D1268" s="5"/>
    </row>
    <row r="1269" spans="1:4" x14ac:dyDescent="0.25">
      <c r="A1269" s="4"/>
      <c r="B1269" s="5"/>
      <c r="C1269" s="5"/>
      <c r="D1269" s="5"/>
    </row>
    <row r="1270" spans="1:4" x14ac:dyDescent="0.25">
      <c r="A1270" s="4"/>
      <c r="B1270" s="5"/>
      <c r="C1270" s="5"/>
      <c r="D1270" s="5"/>
    </row>
    <row r="1271" spans="1:4" x14ac:dyDescent="0.25">
      <c r="A1271" s="4"/>
      <c r="B1271" s="5"/>
      <c r="C1271" s="5"/>
      <c r="D1271" s="5"/>
    </row>
    <row r="1272" spans="1:4" x14ac:dyDescent="0.25">
      <c r="A1272" s="4"/>
      <c r="B1272" s="5"/>
      <c r="C1272" s="5"/>
      <c r="D1272" s="5"/>
    </row>
    <row r="1273" spans="1:4" x14ac:dyDescent="0.25">
      <c r="A1273" s="4"/>
      <c r="B1273" s="5"/>
      <c r="C1273" s="5"/>
      <c r="D1273" s="5"/>
    </row>
    <row r="1274" spans="1:4" x14ac:dyDescent="0.25">
      <c r="A1274" s="4"/>
      <c r="B1274" s="5"/>
      <c r="C1274" s="5"/>
      <c r="D1274" s="5"/>
    </row>
    <row r="1275" spans="1:4" x14ac:dyDescent="0.25">
      <c r="A1275" s="4"/>
      <c r="B1275" s="5"/>
      <c r="C1275" s="5"/>
      <c r="D1275" s="5"/>
    </row>
    <row r="1276" spans="1:4" x14ac:dyDescent="0.25">
      <c r="A1276" s="4"/>
      <c r="B1276" s="5"/>
      <c r="C1276" s="5"/>
      <c r="D1276" s="5"/>
    </row>
    <row r="1277" spans="1:4" x14ac:dyDescent="0.25">
      <c r="A1277" s="4"/>
      <c r="B1277" s="5"/>
      <c r="C1277" s="5"/>
      <c r="D1277" s="5"/>
    </row>
    <row r="1278" spans="1:4" x14ac:dyDescent="0.25">
      <c r="A1278" s="4"/>
      <c r="B1278" s="5"/>
      <c r="C1278" s="5"/>
      <c r="D1278" s="5"/>
    </row>
    <row r="1279" spans="1:4" x14ac:dyDescent="0.25">
      <c r="A1279" s="4"/>
      <c r="B1279" s="5"/>
      <c r="C1279" s="5"/>
      <c r="D1279" s="5"/>
    </row>
    <row r="1280" spans="1:4" x14ac:dyDescent="0.25">
      <c r="A1280" s="4"/>
      <c r="B1280" s="5"/>
      <c r="C1280" s="5"/>
      <c r="D1280" s="5"/>
    </row>
    <row r="1281" spans="1:4" x14ac:dyDescent="0.25">
      <c r="A1281" s="4"/>
      <c r="B1281" s="5"/>
      <c r="C1281" s="5"/>
      <c r="D1281" s="5"/>
    </row>
    <row r="1282" spans="1:4" x14ac:dyDescent="0.25">
      <c r="A1282" s="4"/>
      <c r="B1282" s="5"/>
      <c r="C1282" s="5"/>
      <c r="D1282" s="5"/>
    </row>
    <row r="1283" spans="1:4" x14ac:dyDescent="0.25">
      <c r="A1283" s="4"/>
      <c r="B1283" s="5"/>
      <c r="C1283" s="5"/>
      <c r="D1283" s="5"/>
    </row>
    <row r="1284" spans="1:4" x14ac:dyDescent="0.25">
      <c r="A1284" s="4"/>
      <c r="B1284" s="5"/>
      <c r="C1284" s="5"/>
      <c r="D1284" s="5"/>
    </row>
    <row r="1285" spans="1:4" x14ac:dyDescent="0.25">
      <c r="A1285" s="4"/>
      <c r="B1285" s="5"/>
      <c r="C1285" s="5"/>
      <c r="D1285" s="5"/>
    </row>
    <row r="1286" spans="1:4" x14ac:dyDescent="0.25">
      <c r="A1286" s="4"/>
      <c r="B1286" s="5"/>
      <c r="C1286" s="5"/>
      <c r="D1286" s="5"/>
    </row>
    <row r="1287" spans="1:4" x14ac:dyDescent="0.25">
      <c r="A1287" s="4"/>
      <c r="B1287" s="5"/>
      <c r="C1287" s="5"/>
      <c r="D1287" s="5"/>
    </row>
    <row r="1288" spans="1:4" x14ac:dyDescent="0.25">
      <c r="A1288" s="4"/>
      <c r="B1288" s="5"/>
      <c r="C1288" s="5"/>
      <c r="D1288" s="5"/>
    </row>
    <row r="1289" spans="1:4" x14ac:dyDescent="0.25">
      <c r="A1289" s="4"/>
      <c r="B1289" s="5"/>
      <c r="C1289" s="5"/>
      <c r="D1289" s="5"/>
    </row>
    <row r="1290" spans="1:4" x14ac:dyDescent="0.25">
      <c r="A1290" s="4"/>
      <c r="B1290" s="5"/>
      <c r="C1290" s="5"/>
      <c r="D1290" s="5"/>
    </row>
    <row r="1291" spans="1:4" x14ac:dyDescent="0.25">
      <c r="A1291" s="4"/>
      <c r="B1291" s="5"/>
      <c r="C1291" s="5"/>
      <c r="D1291" s="5"/>
    </row>
    <row r="1292" spans="1:4" x14ac:dyDescent="0.25">
      <c r="A1292" s="4"/>
      <c r="B1292" s="5"/>
      <c r="C1292" s="5"/>
      <c r="D1292" s="5"/>
    </row>
    <row r="1293" spans="1:4" x14ac:dyDescent="0.25">
      <c r="A1293" s="4"/>
      <c r="B1293" s="5"/>
      <c r="C1293" s="5"/>
      <c r="D1293" s="5"/>
    </row>
    <row r="1294" spans="1:4" x14ac:dyDescent="0.25">
      <c r="A1294" s="4"/>
      <c r="B1294" s="5"/>
      <c r="C1294" s="5"/>
      <c r="D1294" s="5"/>
    </row>
    <row r="1295" spans="1:4" x14ac:dyDescent="0.25">
      <c r="A1295" s="4"/>
      <c r="B1295" s="5"/>
      <c r="C1295" s="5"/>
      <c r="D1295" s="5"/>
    </row>
    <row r="1296" spans="1:4" x14ac:dyDescent="0.25">
      <c r="A1296" s="4"/>
      <c r="B1296" s="5"/>
      <c r="C1296" s="5"/>
      <c r="D1296" s="5"/>
    </row>
    <row r="1297" spans="1:4" x14ac:dyDescent="0.25">
      <c r="A1297" s="4"/>
      <c r="B1297" s="5"/>
      <c r="C1297" s="5"/>
      <c r="D1297" s="5"/>
    </row>
    <row r="1298" spans="1:4" x14ac:dyDescent="0.25">
      <c r="A1298" s="4"/>
      <c r="B1298" s="5"/>
      <c r="C1298" s="5"/>
      <c r="D1298" s="5"/>
    </row>
    <row r="1299" spans="1:4" x14ac:dyDescent="0.25">
      <c r="A1299" s="4"/>
      <c r="B1299" s="5"/>
      <c r="C1299" s="5"/>
      <c r="D1299" s="5"/>
    </row>
    <row r="1300" spans="1:4" x14ac:dyDescent="0.25">
      <c r="A1300" s="4"/>
      <c r="B1300" s="5"/>
      <c r="C1300" s="5"/>
      <c r="D1300" s="5"/>
    </row>
    <row r="1301" spans="1:4" x14ac:dyDescent="0.25">
      <c r="A1301" s="4"/>
      <c r="B1301" s="5"/>
      <c r="C1301" s="5"/>
      <c r="D1301" s="5"/>
    </row>
    <row r="1302" spans="1:4" x14ac:dyDescent="0.25">
      <c r="A1302" s="4"/>
      <c r="B1302" s="5"/>
      <c r="C1302" s="5"/>
      <c r="D1302" s="5"/>
    </row>
    <row r="1303" spans="1:4" x14ac:dyDescent="0.25">
      <c r="A1303" s="4"/>
      <c r="B1303" s="5"/>
      <c r="C1303" s="5"/>
      <c r="D1303" s="5"/>
    </row>
    <row r="1304" spans="1:4" x14ac:dyDescent="0.25">
      <c r="A1304" s="4"/>
      <c r="B1304" s="5"/>
      <c r="C1304" s="5"/>
      <c r="D1304" s="5"/>
    </row>
    <row r="1305" spans="1:4" x14ac:dyDescent="0.25">
      <c r="A1305" s="4"/>
      <c r="B1305" s="5"/>
      <c r="C1305" s="5"/>
      <c r="D1305" s="5"/>
    </row>
    <row r="1306" spans="1:4" x14ac:dyDescent="0.25">
      <c r="A1306" s="4"/>
      <c r="B1306" s="5"/>
      <c r="C1306" s="5"/>
      <c r="D1306" s="5"/>
    </row>
    <row r="1307" spans="1:4" x14ac:dyDescent="0.25">
      <c r="A1307" s="4"/>
      <c r="B1307" s="5"/>
      <c r="C1307" s="5"/>
      <c r="D1307" s="5"/>
    </row>
    <row r="1308" spans="1:4" x14ac:dyDescent="0.25">
      <c r="A1308" s="4"/>
      <c r="B1308" s="5"/>
      <c r="C1308" s="5"/>
      <c r="D1308" s="5"/>
    </row>
    <row r="1309" spans="1:4" x14ac:dyDescent="0.25">
      <c r="A1309" s="4"/>
      <c r="B1309" s="5"/>
      <c r="C1309" s="5"/>
      <c r="D1309" s="5"/>
    </row>
    <row r="1310" spans="1:4" x14ac:dyDescent="0.25">
      <c r="A1310" s="4"/>
      <c r="B1310" s="5"/>
      <c r="C1310" s="5"/>
      <c r="D1310" s="5"/>
    </row>
    <row r="1311" spans="1:4" x14ac:dyDescent="0.25">
      <c r="A1311" s="4"/>
      <c r="B1311" s="5"/>
      <c r="C1311" s="5"/>
      <c r="D1311" s="5"/>
    </row>
    <row r="1312" spans="1:4" x14ac:dyDescent="0.25">
      <c r="A1312" s="4"/>
      <c r="B1312" s="5"/>
      <c r="C1312" s="5"/>
      <c r="D1312" s="5"/>
    </row>
    <row r="1313" spans="1:4" x14ac:dyDescent="0.25">
      <c r="A1313" s="4"/>
      <c r="B1313" s="5"/>
      <c r="C1313" s="5"/>
      <c r="D1313" s="5"/>
    </row>
    <row r="1314" spans="1:4" x14ac:dyDescent="0.25">
      <c r="A1314" s="4"/>
      <c r="B1314" s="5"/>
      <c r="C1314" s="5"/>
      <c r="D1314" s="5"/>
    </row>
    <row r="1315" spans="1:4" x14ac:dyDescent="0.25">
      <c r="A1315" s="4"/>
      <c r="B1315" s="5"/>
      <c r="C1315" s="5"/>
      <c r="D1315" s="5"/>
    </row>
    <row r="1316" spans="1:4" x14ac:dyDescent="0.25">
      <c r="A1316" s="4"/>
      <c r="B1316" s="5"/>
      <c r="C1316" s="5"/>
      <c r="D1316" s="5"/>
    </row>
    <row r="1317" spans="1:4" x14ac:dyDescent="0.25">
      <c r="A1317" s="4"/>
      <c r="B1317" s="5"/>
      <c r="C1317" s="5"/>
      <c r="D1317" s="5"/>
    </row>
    <row r="1318" spans="1:4" x14ac:dyDescent="0.25">
      <c r="A1318" s="4"/>
      <c r="B1318" s="5"/>
      <c r="C1318" s="5"/>
      <c r="D1318" s="5"/>
    </row>
    <row r="1319" spans="1:4" x14ac:dyDescent="0.25">
      <c r="A1319" s="4"/>
      <c r="B1319" s="5"/>
      <c r="C1319" s="5"/>
      <c r="D1319" s="5"/>
    </row>
    <row r="1320" spans="1:4" x14ac:dyDescent="0.25">
      <c r="A1320" s="4"/>
      <c r="B1320" s="5"/>
      <c r="C1320" s="5"/>
      <c r="D1320" s="5"/>
    </row>
    <row r="1321" spans="1:4" x14ac:dyDescent="0.25">
      <c r="A1321" s="4"/>
      <c r="B1321" s="5"/>
      <c r="C1321" s="5"/>
      <c r="D1321" s="5"/>
    </row>
    <row r="1322" spans="1:4" x14ac:dyDescent="0.25">
      <c r="A1322" s="4"/>
      <c r="B1322" s="5"/>
      <c r="C1322" s="5"/>
      <c r="D1322" s="5"/>
    </row>
    <row r="1323" spans="1:4" x14ac:dyDescent="0.25">
      <c r="A1323" s="4"/>
      <c r="B1323" s="5"/>
      <c r="C1323" s="5"/>
      <c r="D1323" s="5"/>
    </row>
    <row r="1324" spans="1:4" x14ac:dyDescent="0.25">
      <c r="A1324" s="4"/>
      <c r="B1324" s="5"/>
      <c r="C1324" s="5"/>
      <c r="D1324" s="5"/>
    </row>
    <row r="1325" spans="1:4" x14ac:dyDescent="0.25">
      <c r="A1325" s="4"/>
      <c r="B1325" s="5"/>
      <c r="C1325" s="5"/>
      <c r="D1325" s="5"/>
    </row>
    <row r="1326" spans="1:4" x14ac:dyDescent="0.25">
      <c r="A1326" s="4"/>
      <c r="B1326" s="5"/>
      <c r="C1326" s="5"/>
      <c r="D1326" s="5"/>
    </row>
    <row r="1327" spans="1:4" x14ac:dyDescent="0.25">
      <c r="A1327" s="4"/>
      <c r="B1327" s="5"/>
      <c r="C1327" s="5"/>
      <c r="D1327" s="5"/>
    </row>
    <row r="1328" spans="1:4" x14ac:dyDescent="0.25">
      <c r="A1328" s="4"/>
      <c r="B1328" s="5"/>
      <c r="C1328" s="5"/>
      <c r="D1328" s="5"/>
    </row>
    <row r="1329" spans="1:4" x14ac:dyDescent="0.25">
      <c r="A1329" s="4"/>
      <c r="B1329" s="5"/>
      <c r="C1329" s="5"/>
      <c r="D1329" s="5"/>
    </row>
    <row r="1330" spans="1:4" x14ac:dyDescent="0.25">
      <c r="A1330" s="4"/>
      <c r="B1330" s="5"/>
      <c r="C1330" s="5"/>
      <c r="D1330" s="5"/>
    </row>
    <row r="1331" spans="1:4" x14ac:dyDescent="0.25">
      <c r="A1331" s="4"/>
      <c r="B1331" s="5"/>
      <c r="C1331" s="5"/>
      <c r="D1331" s="5"/>
    </row>
    <row r="1332" spans="1:4" x14ac:dyDescent="0.25">
      <c r="A1332" s="4"/>
      <c r="B1332" s="5"/>
      <c r="C1332" s="5"/>
      <c r="D1332" s="5"/>
    </row>
    <row r="1333" spans="1:4" x14ac:dyDescent="0.25">
      <c r="A1333" s="4"/>
      <c r="B1333" s="5"/>
      <c r="C1333" s="5"/>
      <c r="D1333" s="5"/>
    </row>
    <row r="1334" spans="1:4" x14ac:dyDescent="0.25">
      <c r="A1334" s="4"/>
      <c r="B1334" s="5"/>
      <c r="C1334" s="5"/>
      <c r="D1334" s="5"/>
    </row>
    <row r="1335" spans="1:4" x14ac:dyDescent="0.25">
      <c r="A1335" s="4"/>
      <c r="B1335" s="5"/>
      <c r="C1335" s="5"/>
      <c r="D1335" s="5"/>
    </row>
    <row r="1336" spans="1:4" x14ac:dyDescent="0.25">
      <c r="A1336" s="4"/>
      <c r="B1336" s="5"/>
      <c r="C1336" s="5"/>
      <c r="D1336" s="5"/>
    </row>
    <row r="1337" spans="1:4" x14ac:dyDescent="0.25">
      <c r="A1337" s="4"/>
      <c r="B1337" s="5"/>
      <c r="C1337" s="5"/>
      <c r="D1337" s="5"/>
    </row>
    <row r="1338" spans="1:4" x14ac:dyDescent="0.25">
      <c r="A1338" s="4"/>
      <c r="B1338" s="5"/>
      <c r="C1338" s="5"/>
      <c r="D1338" s="5"/>
    </row>
    <row r="1339" spans="1:4" x14ac:dyDescent="0.25">
      <c r="A1339" s="4"/>
      <c r="B1339" s="5"/>
      <c r="C1339" s="5"/>
      <c r="D1339" s="5"/>
    </row>
    <row r="1340" spans="1:4" x14ac:dyDescent="0.25">
      <c r="A1340" s="4"/>
      <c r="B1340" s="5"/>
      <c r="C1340" s="5"/>
      <c r="D1340" s="5"/>
    </row>
    <row r="1341" spans="1:4" x14ac:dyDescent="0.25">
      <c r="A1341" s="4"/>
      <c r="B1341" s="5"/>
      <c r="C1341" s="5"/>
      <c r="D1341" s="5"/>
    </row>
    <row r="1342" spans="1:4" x14ac:dyDescent="0.25">
      <c r="A1342" s="4"/>
      <c r="B1342" s="5"/>
      <c r="C1342" s="5"/>
      <c r="D1342" s="5"/>
    </row>
    <row r="1343" spans="1:4" x14ac:dyDescent="0.25">
      <c r="A1343" s="4"/>
      <c r="B1343" s="5"/>
      <c r="C1343" s="5"/>
      <c r="D1343" s="5"/>
    </row>
    <row r="1344" spans="1:4" x14ac:dyDescent="0.25">
      <c r="A1344" s="4"/>
      <c r="B1344" s="5"/>
      <c r="C1344" s="5"/>
      <c r="D1344" s="5"/>
    </row>
    <row r="1345" spans="1:4" x14ac:dyDescent="0.25">
      <c r="A1345" s="4"/>
      <c r="B1345" s="5"/>
      <c r="C1345" s="5"/>
      <c r="D1345" s="5"/>
    </row>
    <row r="1346" spans="1:4" x14ac:dyDescent="0.25">
      <c r="A1346" s="4"/>
      <c r="B1346" s="5"/>
      <c r="C1346" s="5"/>
      <c r="D1346" s="5"/>
    </row>
    <row r="1347" spans="1:4" x14ac:dyDescent="0.25">
      <c r="A1347" s="4"/>
      <c r="B1347" s="5"/>
      <c r="C1347" s="5"/>
      <c r="D1347" s="5"/>
    </row>
    <row r="1348" spans="1:4" x14ac:dyDescent="0.25">
      <c r="A1348" s="4"/>
      <c r="B1348" s="5"/>
      <c r="C1348" s="5"/>
      <c r="D1348" s="5"/>
    </row>
    <row r="1349" spans="1:4" x14ac:dyDescent="0.25">
      <c r="A1349" s="4"/>
      <c r="B1349" s="5"/>
      <c r="C1349" s="5"/>
      <c r="D1349" s="5"/>
    </row>
    <row r="1350" spans="1:4" x14ac:dyDescent="0.25">
      <c r="A1350" s="4"/>
      <c r="B1350" s="5"/>
      <c r="C1350" s="5"/>
      <c r="D1350" s="5"/>
    </row>
    <row r="1351" spans="1:4" x14ac:dyDescent="0.25">
      <c r="A1351" s="4"/>
      <c r="B1351" s="5"/>
      <c r="C1351" s="5"/>
      <c r="D1351" s="5"/>
    </row>
    <row r="1352" spans="1:4" x14ac:dyDescent="0.25">
      <c r="A1352" s="4"/>
      <c r="B1352" s="5"/>
      <c r="C1352" s="5"/>
      <c r="D1352" s="5"/>
    </row>
    <row r="1353" spans="1:4" x14ac:dyDescent="0.25">
      <c r="A1353" s="4"/>
      <c r="B1353" s="5"/>
      <c r="C1353" s="5"/>
      <c r="D1353" s="5"/>
    </row>
    <row r="1354" spans="1:4" x14ac:dyDescent="0.25">
      <c r="A1354" s="4"/>
      <c r="B1354" s="5"/>
      <c r="C1354" s="5"/>
      <c r="D1354" s="5"/>
    </row>
    <row r="1355" spans="1:4" x14ac:dyDescent="0.25">
      <c r="A1355" s="4"/>
      <c r="B1355" s="5"/>
      <c r="C1355" s="5"/>
      <c r="D1355" s="5"/>
    </row>
    <row r="1356" spans="1:4" x14ac:dyDescent="0.25">
      <c r="A1356" s="4"/>
      <c r="B1356" s="5"/>
      <c r="C1356" s="5"/>
      <c r="D1356" s="5"/>
    </row>
    <row r="1357" spans="1:4" x14ac:dyDescent="0.25">
      <c r="A1357" s="4"/>
      <c r="B1357" s="5"/>
      <c r="C1357" s="5"/>
      <c r="D1357" s="5"/>
    </row>
    <row r="1358" spans="1:4" x14ac:dyDescent="0.25">
      <c r="A1358" s="4"/>
      <c r="B1358" s="5"/>
      <c r="C1358" s="5"/>
      <c r="D1358" s="5"/>
    </row>
    <row r="1359" spans="1:4" x14ac:dyDescent="0.25">
      <c r="A1359" s="4"/>
      <c r="B1359" s="5"/>
      <c r="C1359" s="5"/>
      <c r="D1359" s="5"/>
    </row>
    <row r="1360" spans="1:4" x14ac:dyDescent="0.25">
      <c r="A1360" s="4"/>
      <c r="B1360" s="5"/>
      <c r="C1360" s="5"/>
      <c r="D1360" s="5"/>
    </row>
    <row r="1361" spans="1:4" x14ac:dyDescent="0.25">
      <c r="A1361" s="4"/>
      <c r="B1361" s="5"/>
      <c r="C1361" s="5"/>
      <c r="D1361" s="5"/>
    </row>
    <row r="1362" spans="1:4" x14ac:dyDescent="0.25">
      <c r="A1362" s="4"/>
      <c r="B1362" s="5"/>
      <c r="C1362" s="5"/>
      <c r="D1362" s="5"/>
    </row>
    <row r="1363" spans="1:4" x14ac:dyDescent="0.25">
      <c r="A1363" s="4"/>
      <c r="B1363" s="5"/>
      <c r="C1363" s="5"/>
      <c r="D1363" s="5"/>
    </row>
    <row r="1364" spans="1:4" x14ac:dyDescent="0.25">
      <c r="A1364" s="4"/>
      <c r="B1364" s="5"/>
      <c r="C1364" s="5"/>
      <c r="D1364" s="5"/>
    </row>
    <row r="1365" spans="1:4" x14ac:dyDescent="0.25">
      <c r="A1365" s="4"/>
      <c r="B1365" s="5"/>
      <c r="C1365" s="5"/>
      <c r="D1365" s="5"/>
    </row>
    <row r="1366" spans="1:4" x14ac:dyDescent="0.25">
      <c r="A1366" s="4"/>
      <c r="B1366" s="5"/>
      <c r="C1366" s="5"/>
      <c r="D1366" s="5"/>
    </row>
    <row r="1367" spans="1:4" x14ac:dyDescent="0.25">
      <c r="A1367" s="4"/>
      <c r="B1367" s="5"/>
      <c r="C1367" s="5"/>
      <c r="D1367" s="5"/>
    </row>
    <row r="1368" spans="1:4" x14ac:dyDescent="0.25">
      <c r="A1368" s="4"/>
      <c r="B1368" s="5"/>
      <c r="C1368" s="5"/>
      <c r="D1368" s="5"/>
    </row>
    <row r="1369" spans="1:4" x14ac:dyDescent="0.25">
      <c r="A1369" s="4"/>
      <c r="B1369" s="5"/>
      <c r="C1369" s="5"/>
      <c r="D1369" s="5"/>
    </row>
    <row r="1370" spans="1:4" x14ac:dyDescent="0.25">
      <c r="A1370" s="4"/>
      <c r="B1370" s="5"/>
      <c r="C1370" s="5"/>
      <c r="D1370" s="5"/>
    </row>
    <row r="1371" spans="1:4" x14ac:dyDescent="0.25">
      <c r="A1371" s="4"/>
      <c r="B1371" s="5"/>
      <c r="C1371" s="5"/>
      <c r="D1371" s="5"/>
    </row>
    <row r="1372" spans="1:4" x14ac:dyDescent="0.25">
      <c r="A1372" s="4"/>
      <c r="B1372" s="5"/>
      <c r="C1372" s="5"/>
      <c r="D1372" s="5"/>
    </row>
    <row r="1373" spans="1:4" x14ac:dyDescent="0.25">
      <c r="A1373" s="4"/>
      <c r="B1373" s="5"/>
      <c r="C1373" s="5"/>
      <c r="D1373" s="5"/>
    </row>
    <row r="1374" spans="1:4" x14ac:dyDescent="0.25">
      <c r="A1374" s="4"/>
      <c r="B1374" s="5"/>
      <c r="C1374" s="5"/>
      <c r="D1374" s="5"/>
    </row>
    <row r="1375" spans="1:4" x14ac:dyDescent="0.25">
      <c r="A1375" s="4"/>
      <c r="B1375" s="5"/>
      <c r="C1375" s="5"/>
      <c r="D1375" s="5"/>
    </row>
    <row r="1376" spans="1:4" x14ac:dyDescent="0.25">
      <c r="A1376" s="4"/>
      <c r="B1376" s="5"/>
      <c r="C1376" s="5"/>
      <c r="D1376" s="5"/>
    </row>
    <row r="1377" spans="1:4" x14ac:dyDescent="0.25">
      <c r="A1377" s="4"/>
      <c r="B1377" s="5"/>
      <c r="C1377" s="5"/>
      <c r="D1377" s="5"/>
    </row>
    <row r="1378" spans="1:4" x14ac:dyDescent="0.25">
      <c r="A1378" s="4"/>
      <c r="B1378" s="5"/>
      <c r="C1378" s="5"/>
      <c r="D1378" s="5"/>
    </row>
    <row r="1379" spans="1:4" x14ac:dyDescent="0.25">
      <c r="A1379" s="4"/>
      <c r="B1379" s="5"/>
      <c r="C1379" s="5"/>
      <c r="D1379" s="5"/>
    </row>
    <row r="1380" spans="1:4" x14ac:dyDescent="0.25">
      <c r="A1380" s="4"/>
      <c r="B1380" s="5"/>
      <c r="C1380" s="5"/>
      <c r="D1380" s="5"/>
    </row>
    <row r="1381" spans="1:4" x14ac:dyDescent="0.25">
      <c r="A1381" s="4"/>
      <c r="B1381" s="5"/>
      <c r="C1381" s="5"/>
      <c r="D1381" s="5"/>
    </row>
    <row r="1382" spans="1:4" x14ac:dyDescent="0.25">
      <c r="A1382" s="4"/>
      <c r="B1382" s="5"/>
      <c r="C1382" s="5"/>
      <c r="D1382" s="5"/>
    </row>
    <row r="1383" spans="1:4" x14ac:dyDescent="0.25">
      <c r="A1383" s="4"/>
      <c r="B1383" s="5"/>
      <c r="C1383" s="5"/>
      <c r="D1383" s="5"/>
    </row>
    <row r="1384" spans="1:4" x14ac:dyDescent="0.25">
      <c r="A1384" s="4"/>
      <c r="B1384" s="5"/>
      <c r="C1384" s="5"/>
      <c r="D1384" s="5"/>
    </row>
    <row r="1385" spans="1:4" x14ac:dyDescent="0.25">
      <c r="A1385" s="4"/>
      <c r="B1385" s="5"/>
      <c r="C1385" s="5"/>
      <c r="D1385" s="5"/>
    </row>
    <row r="1386" spans="1:4" x14ac:dyDescent="0.25">
      <c r="A1386" s="4"/>
      <c r="B1386" s="5"/>
      <c r="C1386" s="5"/>
      <c r="D1386" s="5"/>
    </row>
    <row r="1387" spans="1:4" x14ac:dyDescent="0.25">
      <c r="A1387" s="4"/>
      <c r="B1387" s="5"/>
      <c r="C1387" s="5"/>
      <c r="D1387" s="5"/>
    </row>
    <row r="1388" spans="1:4" x14ac:dyDescent="0.25">
      <c r="A1388" s="4"/>
      <c r="B1388" s="5"/>
      <c r="C1388" s="5"/>
      <c r="D1388" s="5"/>
    </row>
    <row r="1389" spans="1:4" x14ac:dyDescent="0.25">
      <c r="A1389" s="4"/>
      <c r="B1389" s="5"/>
      <c r="C1389" s="5"/>
      <c r="D1389" s="5"/>
    </row>
    <row r="1390" spans="1:4" x14ac:dyDescent="0.25">
      <c r="A1390" s="4"/>
      <c r="B1390" s="5"/>
      <c r="C1390" s="5"/>
      <c r="D1390" s="5"/>
    </row>
    <row r="1391" spans="1:4" x14ac:dyDescent="0.25">
      <c r="A1391" s="4"/>
      <c r="B1391" s="5"/>
      <c r="C1391" s="5"/>
      <c r="D1391" s="5"/>
    </row>
    <row r="1392" spans="1:4" x14ac:dyDescent="0.25">
      <c r="A1392" s="4"/>
      <c r="B1392" s="5"/>
      <c r="C1392" s="5"/>
      <c r="D1392" s="5"/>
    </row>
    <row r="1393" spans="1:4" x14ac:dyDescent="0.25">
      <c r="A1393" s="4"/>
      <c r="B1393" s="5"/>
      <c r="C1393" s="5"/>
      <c r="D1393" s="5"/>
    </row>
    <row r="1394" spans="1:4" x14ac:dyDescent="0.25">
      <c r="A1394" s="4"/>
      <c r="B1394" s="5"/>
      <c r="C1394" s="5"/>
      <c r="D1394" s="5"/>
    </row>
    <row r="1395" spans="1:4" x14ac:dyDescent="0.25">
      <c r="A1395" s="4"/>
      <c r="B1395" s="5"/>
      <c r="C1395" s="5"/>
      <c r="D1395" s="5"/>
    </row>
    <row r="1396" spans="1:4" x14ac:dyDescent="0.25">
      <c r="A1396" s="4"/>
      <c r="B1396" s="5"/>
      <c r="C1396" s="5"/>
      <c r="D1396" s="5"/>
    </row>
    <row r="1397" spans="1:4" x14ac:dyDescent="0.25">
      <c r="A1397" s="4"/>
      <c r="B1397" s="5"/>
      <c r="C1397" s="5"/>
      <c r="D1397" s="5"/>
    </row>
    <row r="1398" spans="1:4" x14ac:dyDescent="0.25">
      <c r="A1398" s="4"/>
      <c r="B1398" s="5"/>
      <c r="C1398" s="5"/>
      <c r="D1398" s="5"/>
    </row>
    <row r="1399" spans="1:4" x14ac:dyDescent="0.25">
      <c r="A1399" s="4"/>
      <c r="B1399" s="5"/>
      <c r="C1399" s="5"/>
      <c r="D1399" s="5"/>
    </row>
    <row r="1400" spans="1:4" x14ac:dyDescent="0.25">
      <c r="A1400" s="4"/>
      <c r="B1400" s="5"/>
      <c r="C1400" s="5"/>
      <c r="D1400" s="5"/>
    </row>
    <row r="1401" spans="1:4" x14ac:dyDescent="0.25">
      <c r="A1401" s="4"/>
      <c r="B1401" s="5"/>
      <c r="C1401" s="5"/>
      <c r="D1401" s="5"/>
    </row>
    <row r="1402" spans="1:4" x14ac:dyDescent="0.25">
      <c r="A1402" s="4"/>
      <c r="B1402" s="5"/>
      <c r="C1402" s="5"/>
      <c r="D1402" s="5"/>
    </row>
    <row r="1403" spans="1:4" x14ac:dyDescent="0.25">
      <c r="A1403" s="4"/>
      <c r="B1403" s="5"/>
      <c r="C1403" s="5"/>
      <c r="D1403" s="5"/>
    </row>
    <row r="1404" spans="1:4" x14ac:dyDescent="0.25">
      <c r="A1404" s="4"/>
      <c r="B1404" s="5"/>
      <c r="C1404" s="5"/>
      <c r="D1404" s="5"/>
    </row>
    <row r="1405" spans="1:4" x14ac:dyDescent="0.25">
      <c r="A1405" s="4"/>
      <c r="B1405" s="5"/>
      <c r="C1405" s="5"/>
      <c r="D1405" s="5"/>
    </row>
    <row r="1406" spans="1:4" x14ac:dyDescent="0.25">
      <c r="A1406" s="4"/>
      <c r="B1406" s="5"/>
      <c r="C1406" s="5"/>
      <c r="D1406" s="5"/>
    </row>
    <row r="1407" spans="1:4" x14ac:dyDescent="0.25">
      <c r="A1407" s="4"/>
      <c r="B1407" s="5"/>
      <c r="C1407" s="5"/>
      <c r="D1407" s="5"/>
    </row>
    <row r="1408" spans="1:4" x14ac:dyDescent="0.25">
      <c r="A1408" s="4"/>
      <c r="B1408" s="5"/>
      <c r="C1408" s="5"/>
      <c r="D1408" s="5"/>
    </row>
    <row r="1409" spans="1:4" x14ac:dyDescent="0.25">
      <c r="A1409" s="4"/>
      <c r="B1409" s="5"/>
      <c r="C1409" s="5"/>
      <c r="D1409" s="5"/>
    </row>
    <row r="1410" spans="1:4" x14ac:dyDescent="0.25">
      <c r="A1410" s="4"/>
      <c r="B1410" s="5"/>
      <c r="C1410" s="5"/>
      <c r="D1410" s="5"/>
    </row>
    <row r="1411" spans="1:4" x14ac:dyDescent="0.25">
      <c r="A1411" s="4"/>
      <c r="B1411" s="5"/>
      <c r="C1411" s="5"/>
      <c r="D1411" s="5"/>
    </row>
    <row r="1412" spans="1:4" x14ac:dyDescent="0.25">
      <c r="A1412" s="4"/>
      <c r="B1412" s="5"/>
      <c r="C1412" s="5"/>
      <c r="D1412" s="5"/>
    </row>
    <row r="1413" spans="1:4" x14ac:dyDescent="0.25">
      <c r="A1413" s="4"/>
      <c r="B1413" s="5"/>
      <c r="C1413" s="5"/>
      <c r="D1413" s="5"/>
    </row>
    <row r="1414" spans="1:4" x14ac:dyDescent="0.25">
      <c r="A1414" s="4"/>
      <c r="B1414" s="5"/>
      <c r="C1414" s="5"/>
      <c r="D1414" s="5"/>
    </row>
    <row r="1415" spans="1:4" x14ac:dyDescent="0.25">
      <c r="A1415" s="4"/>
      <c r="B1415" s="5"/>
      <c r="C1415" s="5"/>
      <c r="D1415" s="5"/>
    </row>
    <row r="1416" spans="1:4" x14ac:dyDescent="0.25">
      <c r="A1416" s="4"/>
      <c r="B1416" s="5"/>
      <c r="C1416" s="5"/>
      <c r="D1416" s="5"/>
    </row>
    <row r="1417" spans="1:4" x14ac:dyDescent="0.25">
      <c r="A1417" s="4"/>
      <c r="B1417" s="5"/>
      <c r="C1417" s="5"/>
      <c r="D1417" s="5"/>
    </row>
    <row r="1418" spans="1:4" x14ac:dyDescent="0.25">
      <c r="A1418" s="4"/>
      <c r="B1418" s="5"/>
      <c r="C1418" s="5"/>
      <c r="D1418" s="5"/>
    </row>
    <row r="1419" spans="1:4" x14ac:dyDescent="0.25">
      <c r="A1419" s="4"/>
      <c r="B1419" s="5"/>
      <c r="C1419" s="5"/>
      <c r="D1419" s="5"/>
    </row>
    <row r="1420" spans="1:4" x14ac:dyDescent="0.25">
      <c r="A1420" s="4"/>
      <c r="B1420" s="5"/>
      <c r="C1420" s="5"/>
      <c r="D1420" s="5"/>
    </row>
    <row r="1421" spans="1:4" x14ac:dyDescent="0.25">
      <c r="A1421" s="4"/>
      <c r="B1421" s="5"/>
      <c r="C1421" s="5"/>
      <c r="D1421" s="5"/>
    </row>
    <row r="1422" spans="1:4" x14ac:dyDescent="0.25">
      <c r="A1422" s="4"/>
      <c r="B1422" s="5"/>
      <c r="C1422" s="5"/>
      <c r="D1422" s="5"/>
    </row>
    <row r="1423" spans="1:4" x14ac:dyDescent="0.25">
      <c r="A1423" s="4"/>
      <c r="B1423" s="5"/>
      <c r="C1423" s="5"/>
      <c r="D1423" s="5"/>
    </row>
    <row r="1424" spans="1:4" x14ac:dyDescent="0.25">
      <c r="A1424" s="4"/>
      <c r="B1424" s="5"/>
      <c r="C1424" s="5"/>
      <c r="D1424" s="5"/>
    </row>
    <row r="1425" spans="1:4" x14ac:dyDescent="0.25">
      <c r="A1425" s="4"/>
      <c r="B1425" s="5"/>
      <c r="C1425" s="5"/>
      <c r="D1425" s="5"/>
    </row>
    <row r="1426" spans="1:4" x14ac:dyDescent="0.25">
      <c r="A1426" s="4"/>
      <c r="B1426" s="5"/>
      <c r="C1426" s="5"/>
      <c r="D1426" s="5"/>
    </row>
    <row r="1427" spans="1:4" x14ac:dyDescent="0.25">
      <c r="A1427" s="4"/>
      <c r="B1427" s="5"/>
      <c r="C1427" s="5"/>
      <c r="D1427" s="5"/>
    </row>
    <row r="1428" spans="1:4" x14ac:dyDescent="0.25">
      <c r="A1428" s="4"/>
      <c r="B1428" s="5"/>
      <c r="C1428" s="5"/>
      <c r="D1428" s="5"/>
    </row>
    <row r="1429" spans="1:4" x14ac:dyDescent="0.25">
      <c r="A1429" s="4"/>
      <c r="B1429" s="5"/>
      <c r="C1429" s="5"/>
      <c r="D1429" s="5"/>
    </row>
    <row r="1430" spans="1:4" x14ac:dyDescent="0.25">
      <c r="A1430" s="4"/>
      <c r="B1430" s="5"/>
      <c r="C1430" s="5"/>
      <c r="D1430" s="5"/>
    </row>
    <row r="1431" spans="1:4" x14ac:dyDescent="0.25">
      <c r="A1431" s="4"/>
      <c r="B1431" s="5"/>
      <c r="C1431" s="5"/>
      <c r="D1431" s="5"/>
    </row>
    <row r="1432" spans="1:4" x14ac:dyDescent="0.25">
      <c r="A1432" s="4"/>
      <c r="B1432" s="5"/>
      <c r="C1432" s="5"/>
      <c r="D1432" s="5"/>
    </row>
    <row r="1433" spans="1:4" x14ac:dyDescent="0.25">
      <c r="A1433" s="4"/>
      <c r="B1433" s="5"/>
      <c r="C1433" s="5"/>
      <c r="D1433" s="5"/>
    </row>
    <row r="1434" spans="1:4" x14ac:dyDescent="0.25">
      <c r="A1434" s="4"/>
      <c r="B1434" s="5"/>
      <c r="C1434" s="5"/>
      <c r="D1434" s="5"/>
    </row>
    <row r="1435" spans="1:4" x14ac:dyDescent="0.25">
      <c r="A1435" s="4"/>
      <c r="B1435" s="5"/>
      <c r="C1435" s="5"/>
      <c r="D1435" s="5"/>
    </row>
    <row r="1436" spans="1:4" x14ac:dyDescent="0.25">
      <c r="A1436" s="4"/>
      <c r="B1436" s="5"/>
      <c r="C1436" s="5"/>
      <c r="D1436" s="5"/>
    </row>
    <row r="1437" spans="1:4" x14ac:dyDescent="0.25">
      <c r="A1437" s="4"/>
      <c r="B1437" s="5"/>
      <c r="C1437" s="5"/>
      <c r="D1437" s="5"/>
    </row>
    <row r="1438" spans="1:4" x14ac:dyDescent="0.25">
      <c r="A1438" s="4"/>
      <c r="B1438" s="5"/>
      <c r="C1438" s="5"/>
      <c r="D1438" s="5"/>
    </row>
    <row r="1439" spans="1:4" x14ac:dyDescent="0.25">
      <c r="A1439" s="4"/>
      <c r="B1439" s="5"/>
      <c r="C1439" s="5"/>
      <c r="D1439" s="5"/>
    </row>
    <row r="1440" spans="1:4" x14ac:dyDescent="0.25">
      <c r="A1440" s="4"/>
      <c r="B1440" s="5"/>
      <c r="C1440" s="5"/>
      <c r="D1440" s="5"/>
    </row>
    <row r="1441" spans="1:4" x14ac:dyDescent="0.25">
      <c r="A1441" s="4"/>
      <c r="B1441" s="5"/>
      <c r="C1441" s="5"/>
      <c r="D1441" s="5"/>
    </row>
    <row r="1442" spans="1:4" x14ac:dyDescent="0.25">
      <c r="A1442" s="4"/>
      <c r="B1442" s="5"/>
      <c r="C1442" s="5"/>
      <c r="D1442" s="5"/>
    </row>
    <row r="1443" spans="1:4" x14ac:dyDescent="0.25">
      <c r="A1443" s="4"/>
      <c r="B1443" s="5"/>
      <c r="C1443" s="5"/>
      <c r="D1443" s="5"/>
    </row>
    <row r="1444" spans="1:4" x14ac:dyDescent="0.25">
      <c r="A1444" s="4"/>
      <c r="B1444" s="5"/>
      <c r="C1444" s="5"/>
      <c r="D1444" s="5"/>
    </row>
    <row r="1445" spans="1:4" x14ac:dyDescent="0.25">
      <c r="A1445" s="4"/>
      <c r="B1445" s="5"/>
      <c r="C1445" s="5"/>
      <c r="D1445" s="5"/>
    </row>
    <row r="1446" spans="1:4" x14ac:dyDescent="0.25">
      <c r="A1446" s="4"/>
      <c r="B1446" s="5"/>
      <c r="C1446" s="5"/>
      <c r="D1446" s="5"/>
    </row>
    <row r="1447" spans="1:4" x14ac:dyDescent="0.25">
      <c r="A1447" s="4"/>
      <c r="B1447" s="5"/>
      <c r="C1447" s="5"/>
      <c r="D1447" s="5"/>
    </row>
    <row r="1448" spans="1:4" x14ac:dyDescent="0.25">
      <c r="A1448" s="4"/>
      <c r="B1448" s="5"/>
      <c r="C1448" s="5"/>
      <c r="D1448" s="5"/>
    </row>
    <row r="1449" spans="1:4" x14ac:dyDescent="0.25">
      <c r="A1449" s="4"/>
      <c r="B1449" s="5"/>
      <c r="C1449" s="5"/>
      <c r="D1449" s="5"/>
    </row>
    <row r="1450" spans="1:4" x14ac:dyDescent="0.25">
      <c r="A1450" s="4"/>
      <c r="B1450" s="5"/>
      <c r="C1450" s="5"/>
      <c r="D1450" s="5"/>
    </row>
    <row r="1451" spans="1:4" x14ac:dyDescent="0.25">
      <c r="A1451" s="4"/>
      <c r="B1451" s="5"/>
      <c r="C1451" s="5"/>
      <c r="D1451" s="5"/>
    </row>
    <row r="1452" spans="1:4" x14ac:dyDescent="0.25">
      <c r="A1452" s="4"/>
      <c r="B1452" s="5"/>
      <c r="C1452" s="5"/>
      <c r="D1452" s="5"/>
    </row>
    <row r="1453" spans="1:4" x14ac:dyDescent="0.25">
      <c r="A1453" s="4"/>
      <c r="B1453" s="5"/>
      <c r="C1453" s="5"/>
      <c r="D1453" s="5"/>
    </row>
    <row r="1454" spans="1:4" x14ac:dyDescent="0.25">
      <c r="A1454" s="4"/>
      <c r="B1454" s="5"/>
      <c r="C1454" s="5"/>
      <c r="D1454" s="5"/>
    </row>
    <row r="1455" spans="1:4" x14ac:dyDescent="0.25">
      <c r="A1455" s="4"/>
      <c r="B1455" s="5"/>
      <c r="C1455" s="5"/>
      <c r="D1455" s="5"/>
    </row>
    <row r="1456" spans="1:4" x14ac:dyDescent="0.25">
      <c r="A1456" s="4"/>
      <c r="B1456" s="5"/>
      <c r="C1456" s="5"/>
      <c r="D1456" s="5"/>
    </row>
    <row r="1457" spans="1:4" x14ac:dyDescent="0.25">
      <c r="A1457" s="4"/>
      <c r="B1457" s="5"/>
      <c r="C1457" s="5"/>
      <c r="D1457" s="5"/>
    </row>
    <row r="1458" spans="1:4" x14ac:dyDescent="0.25">
      <c r="A1458" s="4"/>
      <c r="B1458" s="5"/>
      <c r="C1458" s="5"/>
      <c r="D1458" s="5"/>
    </row>
    <row r="1459" spans="1:4" x14ac:dyDescent="0.25">
      <c r="A1459" s="4"/>
      <c r="B1459" s="5"/>
      <c r="C1459" s="5"/>
      <c r="D1459" s="5"/>
    </row>
    <row r="1460" spans="1:4" x14ac:dyDescent="0.25">
      <c r="A1460" s="4"/>
      <c r="B1460" s="5"/>
      <c r="C1460" s="5"/>
      <c r="D1460" s="5"/>
    </row>
    <row r="1461" spans="1:4" x14ac:dyDescent="0.25">
      <c r="A1461" s="4"/>
      <c r="B1461" s="5"/>
      <c r="C1461" s="5"/>
      <c r="D1461" s="5"/>
    </row>
    <row r="1462" spans="1:4" x14ac:dyDescent="0.25">
      <c r="A1462" s="4"/>
      <c r="B1462" s="5"/>
      <c r="C1462" s="5"/>
      <c r="D1462" s="5"/>
    </row>
    <row r="1463" spans="1:4" x14ac:dyDescent="0.25">
      <c r="A1463" s="4"/>
      <c r="B1463" s="5"/>
      <c r="C1463" s="5"/>
      <c r="D1463" s="5"/>
    </row>
    <row r="1464" spans="1:4" x14ac:dyDescent="0.25">
      <c r="A1464" s="4"/>
      <c r="B1464" s="5"/>
      <c r="C1464" s="5"/>
      <c r="D1464" s="5"/>
    </row>
    <row r="1465" spans="1:4" x14ac:dyDescent="0.25">
      <c r="A1465" s="4"/>
      <c r="B1465" s="5"/>
      <c r="C1465" s="5"/>
      <c r="D1465" s="5"/>
    </row>
    <row r="1466" spans="1:4" x14ac:dyDescent="0.25">
      <c r="A1466" s="4"/>
      <c r="B1466" s="5"/>
      <c r="C1466" s="5"/>
      <c r="D1466" s="5"/>
    </row>
    <row r="1467" spans="1:4" x14ac:dyDescent="0.25">
      <c r="A1467" s="4"/>
      <c r="B1467" s="5"/>
      <c r="C1467" s="5"/>
      <c r="D1467" s="5"/>
    </row>
    <row r="1468" spans="1:4" x14ac:dyDescent="0.25">
      <c r="A1468" s="4"/>
      <c r="B1468" s="5"/>
      <c r="C1468" s="5"/>
      <c r="D1468" s="5"/>
    </row>
    <row r="1469" spans="1:4" x14ac:dyDescent="0.25">
      <c r="A1469" s="4"/>
      <c r="B1469" s="5"/>
      <c r="C1469" s="5"/>
      <c r="D1469" s="5"/>
    </row>
    <row r="1470" spans="1:4" x14ac:dyDescent="0.25">
      <c r="A1470" s="4"/>
      <c r="B1470" s="5"/>
      <c r="C1470" s="5"/>
      <c r="D1470" s="5"/>
    </row>
    <row r="1471" spans="1:4" x14ac:dyDescent="0.25">
      <c r="A1471" s="4"/>
      <c r="B1471" s="5"/>
      <c r="C1471" s="5"/>
      <c r="D1471" s="5"/>
    </row>
    <row r="1472" spans="1:4" x14ac:dyDescent="0.25">
      <c r="A1472" s="4"/>
      <c r="B1472" s="5"/>
      <c r="C1472" s="5"/>
      <c r="D1472" s="5"/>
    </row>
    <row r="1473" spans="1:4" x14ac:dyDescent="0.25">
      <c r="A1473" s="4"/>
      <c r="B1473" s="5"/>
      <c r="C1473" s="5"/>
      <c r="D1473" s="5"/>
    </row>
    <row r="1474" spans="1:4" x14ac:dyDescent="0.25">
      <c r="A1474" s="4"/>
      <c r="B1474" s="5"/>
      <c r="C1474" s="5"/>
      <c r="D1474" s="5"/>
    </row>
    <row r="1475" spans="1:4" x14ac:dyDescent="0.25">
      <c r="A1475" s="4"/>
      <c r="B1475" s="5"/>
      <c r="C1475" s="5"/>
      <c r="D1475" s="5"/>
    </row>
    <row r="1476" spans="1:4" x14ac:dyDescent="0.25">
      <c r="A1476" s="4"/>
      <c r="B1476" s="5"/>
      <c r="C1476" s="5"/>
      <c r="D1476" s="5"/>
    </row>
    <row r="1477" spans="1:4" x14ac:dyDescent="0.25">
      <c r="A1477" s="4"/>
      <c r="B1477" s="5"/>
      <c r="C1477" s="5"/>
      <c r="D1477" s="5"/>
    </row>
    <row r="1478" spans="1:4" x14ac:dyDescent="0.25">
      <c r="A1478" s="4"/>
      <c r="B1478" s="5"/>
      <c r="C1478" s="5"/>
      <c r="D1478" s="5"/>
    </row>
    <row r="1479" spans="1:4" x14ac:dyDescent="0.25">
      <c r="A1479" s="4"/>
      <c r="B1479" s="5"/>
      <c r="C1479" s="5"/>
      <c r="D1479" s="5"/>
    </row>
    <row r="1480" spans="1:4" x14ac:dyDescent="0.25">
      <c r="A1480" s="4"/>
      <c r="B1480" s="5"/>
      <c r="C1480" s="5"/>
      <c r="D1480" s="5"/>
    </row>
    <row r="1481" spans="1:4" x14ac:dyDescent="0.25">
      <c r="A1481" s="4"/>
      <c r="B1481" s="5"/>
      <c r="C1481" s="5"/>
      <c r="D1481" s="5"/>
    </row>
    <row r="1482" spans="1:4" x14ac:dyDescent="0.25">
      <c r="A1482" s="4"/>
      <c r="B1482" s="5"/>
      <c r="C1482" s="5"/>
      <c r="D1482" s="5"/>
    </row>
    <row r="1483" spans="1:4" x14ac:dyDescent="0.25">
      <c r="A1483" s="4"/>
      <c r="B1483" s="5"/>
      <c r="C1483" s="5"/>
      <c r="D1483" s="5"/>
    </row>
    <row r="1484" spans="1:4" x14ac:dyDescent="0.25">
      <c r="A1484" s="4"/>
      <c r="B1484" s="5"/>
      <c r="C1484" s="5"/>
      <c r="D1484" s="5"/>
    </row>
    <row r="1485" spans="1:4" x14ac:dyDescent="0.25">
      <c r="A1485" s="4"/>
      <c r="B1485" s="5"/>
      <c r="C1485" s="5"/>
      <c r="D1485" s="5"/>
    </row>
    <row r="1486" spans="1:4" x14ac:dyDescent="0.25">
      <c r="A1486" s="4"/>
      <c r="B1486" s="5"/>
      <c r="C1486" s="5"/>
      <c r="D1486" s="5"/>
    </row>
    <row r="1487" spans="1:4" x14ac:dyDescent="0.25">
      <c r="A1487" s="4"/>
      <c r="B1487" s="5"/>
      <c r="C1487" s="5"/>
      <c r="D1487" s="5"/>
    </row>
    <row r="1488" spans="1:4" x14ac:dyDescent="0.25">
      <c r="A1488" s="4"/>
      <c r="B1488" s="5"/>
      <c r="C1488" s="5"/>
      <c r="D1488" s="5"/>
    </row>
    <row r="1489" spans="1:4" x14ac:dyDescent="0.25">
      <c r="A1489" s="4"/>
      <c r="B1489" s="5"/>
      <c r="C1489" s="5"/>
      <c r="D1489" s="5"/>
    </row>
    <row r="1490" spans="1:4" x14ac:dyDescent="0.25">
      <c r="A1490" s="4"/>
      <c r="B1490" s="5"/>
      <c r="C1490" s="5"/>
      <c r="D1490" s="5"/>
    </row>
    <row r="1491" spans="1:4" x14ac:dyDescent="0.25">
      <c r="A1491" s="4"/>
      <c r="B1491" s="5"/>
      <c r="C1491" s="5"/>
      <c r="D1491" s="5"/>
    </row>
    <row r="1492" spans="1:4" x14ac:dyDescent="0.25">
      <c r="A1492" s="4"/>
      <c r="B1492" s="5"/>
      <c r="C1492" s="5"/>
      <c r="D1492" s="5"/>
    </row>
    <row r="1493" spans="1:4" x14ac:dyDescent="0.25">
      <c r="A1493" s="4"/>
      <c r="B1493" s="5"/>
      <c r="C1493" s="5"/>
      <c r="D1493" s="5"/>
    </row>
    <row r="1494" spans="1:4" x14ac:dyDescent="0.25">
      <c r="A1494" s="4"/>
      <c r="B1494" s="5"/>
      <c r="C1494" s="5"/>
      <c r="D1494" s="5"/>
    </row>
    <row r="1495" spans="1:4" x14ac:dyDescent="0.25">
      <c r="A1495" s="4"/>
      <c r="B1495" s="5"/>
      <c r="C1495" s="5"/>
      <c r="D1495" s="5"/>
    </row>
    <row r="1496" spans="1:4" x14ac:dyDescent="0.25">
      <c r="A1496" s="4"/>
      <c r="B1496" s="5"/>
      <c r="C1496" s="5"/>
      <c r="D1496" s="5"/>
    </row>
    <row r="1497" spans="1:4" x14ac:dyDescent="0.25">
      <c r="A1497" s="4"/>
      <c r="B1497" s="5"/>
      <c r="C1497" s="5"/>
      <c r="D1497" s="5"/>
    </row>
    <row r="1498" spans="1:4" x14ac:dyDescent="0.25">
      <c r="A1498" s="4"/>
      <c r="B1498" s="5"/>
      <c r="C1498" s="5"/>
      <c r="D1498" s="5"/>
    </row>
    <row r="1499" spans="1:4" x14ac:dyDescent="0.25">
      <c r="A1499" s="4"/>
      <c r="B1499" s="5"/>
      <c r="C1499" s="5"/>
      <c r="D1499" s="5"/>
    </row>
    <row r="1500" spans="1:4" x14ac:dyDescent="0.25">
      <c r="A1500" s="4"/>
      <c r="B1500" s="5"/>
      <c r="C1500" s="5"/>
      <c r="D1500" s="5"/>
    </row>
    <row r="1501" spans="1:4" x14ac:dyDescent="0.25">
      <c r="A1501" s="4"/>
      <c r="B1501" s="5"/>
      <c r="C1501" s="5"/>
      <c r="D1501" s="5"/>
    </row>
    <row r="1502" spans="1:4" x14ac:dyDescent="0.25">
      <c r="A1502" s="4"/>
      <c r="B1502" s="5"/>
      <c r="C1502" s="5"/>
      <c r="D1502" s="5"/>
    </row>
    <row r="1503" spans="1:4" x14ac:dyDescent="0.25">
      <c r="A1503" s="4"/>
      <c r="B1503" s="5"/>
      <c r="C1503" s="5"/>
      <c r="D1503" s="5"/>
    </row>
    <row r="1504" spans="1:4" x14ac:dyDescent="0.25">
      <c r="A1504" s="4"/>
      <c r="B1504" s="5"/>
      <c r="C1504" s="5"/>
      <c r="D1504" s="5"/>
    </row>
    <row r="1505" spans="1:4" x14ac:dyDescent="0.25">
      <c r="A1505" s="4"/>
      <c r="B1505" s="5"/>
      <c r="C1505" s="5"/>
      <c r="D1505" s="5"/>
    </row>
    <row r="1506" spans="1:4" x14ac:dyDescent="0.25">
      <c r="A1506" s="4"/>
      <c r="B1506" s="5"/>
      <c r="C1506" s="5"/>
      <c r="D1506" s="5"/>
    </row>
    <row r="1507" spans="1:4" x14ac:dyDescent="0.25">
      <c r="A1507" s="4"/>
      <c r="B1507" s="5"/>
      <c r="C1507" s="5"/>
      <c r="D1507" s="5"/>
    </row>
    <row r="1508" spans="1:4" x14ac:dyDescent="0.25">
      <c r="A1508" s="4"/>
      <c r="B1508" s="5"/>
      <c r="C1508" s="5"/>
      <c r="D1508" s="5"/>
    </row>
    <row r="1509" spans="1:4" x14ac:dyDescent="0.25">
      <c r="A1509" s="4"/>
      <c r="B1509" s="5"/>
      <c r="C1509" s="5"/>
      <c r="D1509" s="5"/>
    </row>
    <row r="1510" spans="1:4" x14ac:dyDescent="0.25">
      <c r="A1510" s="4"/>
      <c r="B1510" s="5"/>
      <c r="C1510" s="5"/>
      <c r="D1510" s="5"/>
    </row>
    <row r="1511" spans="1:4" x14ac:dyDescent="0.25">
      <c r="A1511" s="4"/>
      <c r="B1511" s="5"/>
      <c r="C1511" s="5"/>
      <c r="D1511" s="5"/>
    </row>
    <row r="1512" spans="1:4" x14ac:dyDescent="0.25">
      <c r="A1512" s="4"/>
      <c r="B1512" s="5"/>
      <c r="C1512" s="5"/>
      <c r="D1512" s="5"/>
    </row>
    <row r="1513" spans="1:4" x14ac:dyDescent="0.25">
      <c r="A1513" s="4"/>
      <c r="B1513" s="5"/>
      <c r="C1513" s="5"/>
      <c r="D1513" s="5"/>
    </row>
    <row r="1514" spans="1:4" x14ac:dyDescent="0.25">
      <c r="A1514" s="4"/>
      <c r="B1514" s="5"/>
      <c r="C1514" s="5"/>
      <c r="D1514" s="5"/>
    </row>
    <row r="1515" spans="1:4" x14ac:dyDescent="0.25">
      <c r="A1515" s="4"/>
      <c r="B1515" s="5"/>
      <c r="C1515" s="5"/>
      <c r="D1515" s="5"/>
    </row>
    <row r="1516" spans="1:4" x14ac:dyDescent="0.25">
      <c r="A1516" s="4"/>
      <c r="B1516" s="5"/>
      <c r="C1516" s="5"/>
      <c r="D1516" s="5"/>
    </row>
    <row r="1517" spans="1:4" x14ac:dyDescent="0.25">
      <c r="A1517" s="4"/>
      <c r="B1517" s="5"/>
      <c r="C1517" s="5"/>
      <c r="D1517" s="5"/>
    </row>
    <row r="1518" spans="1:4" x14ac:dyDescent="0.25">
      <c r="A1518" s="4"/>
      <c r="B1518" s="5"/>
      <c r="C1518" s="5"/>
      <c r="D1518" s="5"/>
    </row>
    <row r="1519" spans="1:4" x14ac:dyDescent="0.25">
      <c r="A1519" s="4"/>
      <c r="B1519" s="5"/>
      <c r="C1519" s="5"/>
      <c r="D1519" s="5"/>
    </row>
    <row r="1520" spans="1:4" x14ac:dyDescent="0.25">
      <c r="A1520" s="4"/>
      <c r="B1520" s="5"/>
      <c r="C1520" s="5"/>
      <c r="D1520" s="5"/>
    </row>
    <row r="1521" spans="1:4" x14ac:dyDescent="0.25">
      <c r="A1521" s="4"/>
      <c r="B1521" s="5"/>
      <c r="C1521" s="5"/>
      <c r="D1521" s="5"/>
    </row>
    <row r="1522" spans="1:4" x14ac:dyDescent="0.25">
      <c r="A1522" s="4"/>
      <c r="B1522" s="5"/>
      <c r="C1522" s="5"/>
      <c r="D1522" s="5"/>
    </row>
    <row r="1523" spans="1:4" x14ac:dyDescent="0.25">
      <c r="A1523" s="4"/>
      <c r="B1523" s="5"/>
      <c r="C1523" s="5"/>
      <c r="D1523" s="5"/>
    </row>
    <row r="1524" spans="1:4" x14ac:dyDescent="0.25">
      <c r="A1524" s="4"/>
      <c r="B1524" s="5"/>
      <c r="C1524" s="5"/>
      <c r="D1524" s="5"/>
    </row>
    <row r="1525" spans="1:4" x14ac:dyDescent="0.25">
      <c r="A1525" s="4"/>
      <c r="B1525" s="5"/>
      <c r="C1525" s="5"/>
      <c r="D1525" s="5"/>
    </row>
    <row r="1526" spans="1:4" x14ac:dyDescent="0.25">
      <c r="A1526" s="4"/>
      <c r="B1526" s="5"/>
      <c r="C1526" s="5"/>
      <c r="D1526" s="5"/>
    </row>
    <row r="1527" spans="1:4" x14ac:dyDescent="0.25">
      <c r="A1527" s="4"/>
      <c r="B1527" s="5"/>
      <c r="C1527" s="5"/>
      <c r="D1527" s="5"/>
    </row>
    <row r="1528" spans="1:4" x14ac:dyDescent="0.25">
      <c r="A1528" s="4"/>
      <c r="B1528" s="5"/>
      <c r="C1528" s="5"/>
      <c r="D1528" s="5"/>
    </row>
    <row r="1529" spans="1:4" x14ac:dyDescent="0.25">
      <c r="A1529" s="4"/>
      <c r="B1529" s="5"/>
      <c r="C1529" s="5"/>
      <c r="D1529" s="5"/>
    </row>
    <row r="1530" spans="1:4" x14ac:dyDescent="0.25">
      <c r="A1530" s="4"/>
      <c r="B1530" s="5"/>
      <c r="C1530" s="5"/>
      <c r="D1530" s="5"/>
    </row>
    <row r="1531" spans="1:4" x14ac:dyDescent="0.25">
      <c r="A1531" s="4"/>
      <c r="B1531" s="5"/>
      <c r="C1531" s="5"/>
      <c r="D1531" s="5"/>
    </row>
    <row r="1532" spans="1:4" x14ac:dyDescent="0.25">
      <c r="A1532" s="4"/>
      <c r="B1532" s="5"/>
      <c r="C1532" s="5"/>
      <c r="D1532" s="5"/>
    </row>
    <row r="1533" spans="1:4" x14ac:dyDescent="0.25">
      <c r="A1533" s="4"/>
      <c r="B1533" s="5"/>
      <c r="C1533" s="5"/>
      <c r="D1533" s="5"/>
    </row>
    <row r="1534" spans="1:4" x14ac:dyDescent="0.25">
      <c r="A1534" s="4"/>
      <c r="B1534" s="5"/>
      <c r="C1534" s="5"/>
      <c r="D1534" s="5"/>
    </row>
    <row r="1535" spans="1:4" x14ac:dyDescent="0.25">
      <c r="A1535" s="4"/>
      <c r="B1535" s="5"/>
      <c r="C1535" s="5"/>
      <c r="D1535" s="5"/>
    </row>
    <row r="1536" spans="1:4" x14ac:dyDescent="0.25">
      <c r="A1536" s="4"/>
      <c r="B1536" s="5"/>
      <c r="C1536" s="5"/>
      <c r="D1536" s="5"/>
    </row>
    <row r="1537" spans="1:4" x14ac:dyDescent="0.25">
      <c r="A1537" s="4"/>
      <c r="B1537" s="5"/>
      <c r="C1537" s="5"/>
      <c r="D1537" s="5"/>
    </row>
    <row r="1538" spans="1:4" x14ac:dyDescent="0.25">
      <c r="A1538" s="4"/>
      <c r="B1538" s="5"/>
      <c r="C1538" s="5"/>
      <c r="D1538" s="5"/>
    </row>
    <row r="1539" spans="1:4" x14ac:dyDescent="0.25">
      <c r="A1539" s="4"/>
      <c r="B1539" s="5"/>
      <c r="C1539" s="5"/>
      <c r="D1539" s="5"/>
    </row>
    <row r="1540" spans="1:4" x14ac:dyDescent="0.25">
      <c r="A1540" s="4"/>
      <c r="B1540" s="5"/>
      <c r="C1540" s="5"/>
      <c r="D1540" s="5"/>
    </row>
    <row r="1541" spans="1:4" x14ac:dyDescent="0.25">
      <c r="A1541" s="4"/>
      <c r="B1541" s="5"/>
      <c r="C1541" s="5"/>
      <c r="D1541" s="5"/>
    </row>
    <row r="1542" spans="1:4" x14ac:dyDescent="0.25">
      <c r="A1542" s="4"/>
      <c r="B1542" s="5"/>
      <c r="C1542" s="5"/>
      <c r="D1542" s="5"/>
    </row>
    <row r="1543" spans="1:4" x14ac:dyDescent="0.25">
      <c r="A1543" s="4"/>
      <c r="B1543" s="5"/>
      <c r="C1543" s="5"/>
      <c r="D1543" s="5"/>
    </row>
    <row r="1544" spans="1:4" x14ac:dyDescent="0.25">
      <c r="A1544" s="4"/>
      <c r="B1544" s="5"/>
      <c r="C1544" s="5"/>
      <c r="D1544" s="5"/>
    </row>
    <row r="1545" spans="1:4" x14ac:dyDescent="0.25">
      <c r="A1545" s="4"/>
      <c r="B1545" s="5"/>
      <c r="C1545" s="5"/>
      <c r="D1545" s="5"/>
    </row>
    <row r="1546" spans="1:4" x14ac:dyDescent="0.25">
      <c r="A1546" s="4"/>
      <c r="B1546" s="5"/>
      <c r="C1546" s="5"/>
      <c r="D1546" s="5"/>
    </row>
    <row r="1547" spans="1:4" x14ac:dyDescent="0.25">
      <c r="A1547" s="4"/>
      <c r="B1547" s="5"/>
      <c r="C1547" s="5"/>
      <c r="D1547" s="5"/>
    </row>
    <row r="1548" spans="1:4" x14ac:dyDescent="0.25">
      <c r="A1548" s="4"/>
      <c r="B1548" s="5"/>
      <c r="C1548" s="5"/>
      <c r="D1548" s="5"/>
    </row>
    <row r="1549" spans="1:4" x14ac:dyDescent="0.25">
      <c r="A1549" s="4"/>
      <c r="B1549" s="5"/>
      <c r="C1549" s="5"/>
      <c r="D1549" s="5"/>
    </row>
    <row r="1550" spans="1:4" x14ac:dyDescent="0.25">
      <c r="A1550" s="4"/>
      <c r="B1550" s="5"/>
      <c r="C1550" s="5"/>
      <c r="D1550" s="5"/>
    </row>
    <row r="1551" spans="1:4" x14ac:dyDescent="0.25">
      <c r="A1551" s="4"/>
      <c r="B1551" s="5"/>
      <c r="C1551" s="5"/>
      <c r="D1551" s="5"/>
    </row>
    <row r="1552" spans="1:4" x14ac:dyDescent="0.25">
      <c r="A1552" s="4"/>
      <c r="B1552" s="5"/>
      <c r="C1552" s="5"/>
      <c r="D1552" s="5"/>
    </row>
    <row r="1553" spans="1:4" x14ac:dyDescent="0.25">
      <c r="A1553" s="4"/>
      <c r="B1553" s="5"/>
      <c r="C1553" s="5"/>
      <c r="D1553" s="5"/>
    </row>
    <row r="1554" spans="1:4" x14ac:dyDescent="0.25">
      <c r="A1554" s="4"/>
      <c r="B1554" s="5"/>
      <c r="C1554" s="5"/>
      <c r="D1554" s="5"/>
    </row>
    <row r="1555" spans="1:4" x14ac:dyDescent="0.25">
      <c r="A1555" s="4"/>
      <c r="B1555" s="5"/>
      <c r="C1555" s="5"/>
      <c r="D1555" s="5"/>
    </row>
    <row r="1556" spans="1:4" x14ac:dyDescent="0.25">
      <c r="A1556" s="4"/>
      <c r="B1556" s="5"/>
      <c r="C1556" s="5"/>
      <c r="D1556" s="5"/>
    </row>
    <row r="1557" spans="1:4" x14ac:dyDescent="0.25">
      <c r="A1557" s="4"/>
      <c r="B1557" s="5"/>
      <c r="C1557" s="5"/>
      <c r="D1557" s="5"/>
    </row>
    <row r="1558" spans="1:4" x14ac:dyDescent="0.25">
      <c r="A1558" s="4"/>
      <c r="B1558" s="5"/>
      <c r="C1558" s="5"/>
      <c r="D1558" s="5"/>
    </row>
    <row r="1559" spans="1:4" x14ac:dyDescent="0.25">
      <c r="A1559" s="4"/>
      <c r="B1559" s="5"/>
      <c r="C1559" s="5"/>
      <c r="D1559" s="5"/>
    </row>
    <row r="1560" spans="1:4" x14ac:dyDescent="0.25">
      <c r="A1560" s="4"/>
      <c r="B1560" s="5"/>
      <c r="C1560" s="5"/>
      <c r="D1560" s="5"/>
    </row>
    <row r="1561" spans="1:4" x14ac:dyDescent="0.25">
      <c r="A1561" s="4"/>
      <c r="B1561" s="5"/>
      <c r="C1561" s="5"/>
      <c r="D1561" s="5"/>
    </row>
    <row r="1562" spans="1:4" x14ac:dyDescent="0.25">
      <c r="A1562" s="4"/>
      <c r="B1562" s="5"/>
      <c r="C1562" s="5"/>
      <c r="D1562" s="5"/>
    </row>
    <row r="1563" spans="1:4" x14ac:dyDescent="0.25">
      <c r="A1563" s="4"/>
      <c r="B1563" s="5"/>
      <c r="C1563" s="5"/>
      <c r="D1563" s="5"/>
    </row>
    <row r="1564" spans="1:4" x14ac:dyDescent="0.25">
      <c r="A1564" s="4"/>
      <c r="B1564" s="5"/>
      <c r="C1564" s="5"/>
      <c r="D1564" s="5"/>
    </row>
    <row r="1565" spans="1:4" x14ac:dyDescent="0.25">
      <c r="A1565" s="4"/>
      <c r="B1565" s="5"/>
      <c r="C1565" s="5"/>
      <c r="D1565" s="5"/>
    </row>
    <row r="1566" spans="1:4" x14ac:dyDescent="0.25">
      <c r="A1566" s="4"/>
      <c r="B1566" s="5"/>
      <c r="C1566" s="5"/>
      <c r="D1566" s="5"/>
    </row>
    <row r="1567" spans="1:4" x14ac:dyDescent="0.25">
      <c r="A1567" s="4"/>
      <c r="B1567" s="5"/>
      <c r="C1567" s="5"/>
      <c r="D1567" s="5"/>
    </row>
    <row r="1568" spans="1:4" x14ac:dyDescent="0.25">
      <c r="A1568" s="4"/>
      <c r="B1568" s="5"/>
      <c r="C1568" s="5"/>
      <c r="D1568" s="5"/>
    </row>
    <row r="1569" spans="1:4" x14ac:dyDescent="0.25">
      <c r="A1569" s="4"/>
      <c r="B1569" s="5"/>
      <c r="C1569" s="5"/>
      <c r="D1569" s="5"/>
    </row>
    <row r="1570" spans="1:4" x14ac:dyDescent="0.25">
      <c r="A1570" s="4"/>
      <c r="B1570" s="5"/>
      <c r="C1570" s="5"/>
      <c r="D1570" s="5"/>
    </row>
    <row r="1571" spans="1:4" x14ac:dyDescent="0.25">
      <c r="A1571" s="4"/>
      <c r="B1571" s="5"/>
      <c r="C1571" s="5"/>
      <c r="D1571" s="5"/>
    </row>
    <row r="1572" spans="1:4" x14ac:dyDescent="0.25">
      <c r="A1572" s="4"/>
      <c r="B1572" s="5"/>
      <c r="C1572" s="5"/>
      <c r="D1572" s="5"/>
    </row>
    <row r="1573" spans="1:4" x14ac:dyDescent="0.25">
      <c r="A1573" s="4"/>
      <c r="B1573" s="5"/>
      <c r="C1573" s="5"/>
      <c r="D1573" s="5"/>
    </row>
    <row r="1574" spans="1:4" x14ac:dyDescent="0.25">
      <c r="A1574" s="4"/>
      <c r="B1574" s="5"/>
      <c r="C1574" s="5"/>
      <c r="D1574" s="5"/>
    </row>
    <row r="1575" spans="1:4" x14ac:dyDescent="0.25">
      <c r="A1575" s="4"/>
      <c r="B1575" s="5"/>
      <c r="C1575" s="5"/>
      <c r="D1575" s="5"/>
    </row>
    <row r="1576" spans="1:4" x14ac:dyDescent="0.25">
      <c r="A1576" s="4"/>
      <c r="B1576" s="5"/>
      <c r="C1576" s="5"/>
      <c r="D1576" s="5"/>
    </row>
    <row r="1577" spans="1:4" x14ac:dyDescent="0.25">
      <c r="A1577" s="4"/>
      <c r="B1577" s="5"/>
      <c r="C1577" s="5"/>
      <c r="D1577" s="5"/>
    </row>
    <row r="1578" spans="1:4" x14ac:dyDescent="0.25">
      <c r="A1578" s="4"/>
      <c r="B1578" s="5"/>
      <c r="C1578" s="5"/>
      <c r="D1578" s="5"/>
    </row>
    <row r="1579" spans="1:4" x14ac:dyDescent="0.25">
      <c r="A1579" s="4"/>
      <c r="B1579" s="5"/>
      <c r="C1579" s="5"/>
      <c r="D1579" s="5"/>
    </row>
    <row r="1580" spans="1:4" x14ac:dyDescent="0.25">
      <c r="A1580" s="4"/>
      <c r="B1580" s="5"/>
      <c r="C1580" s="5"/>
      <c r="D1580" s="5"/>
    </row>
    <row r="1581" spans="1:4" x14ac:dyDescent="0.25">
      <c r="A1581" s="4"/>
      <c r="B1581" s="5"/>
      <c r="C1581" s="5"/>
      <c r="D1581" s="5"/>
    </row>
    <row r="1582" spans="1:4" x14ac:dyDescent="0.25">
      <c r="A1582" s="4"/>
      <c r="B1582" s="5"/>
      <c r="C1582" s="5"/>
      <c r="D1582" s="5"/>
    </row>
    <row r="1583" spans="1:4" x14ac:dyDescent="0.25">
      <c r="A1583" s="4"/>
      <c r="B1583" s="5"/>
      <c r="C1583" s="5"/>
      <c r="D1583" s="5"/>
    </row>
    <row r="1584" spans="1:4" x14ac:dyDescent="0.25">
      <c r="A1584" s="4"/>
      <c r="B1584" s="5"/>
      <c r="C1584" s="5"/>
      <c r="D1584" s="5"/>
    </row>
    <row r="1585" spans="1:4" x14ac:dyDescent="0.25">
      <c r="A1585" s="4"/>
      <c r="B1585" s="5"/>
      <c r="C1585" s="5"/>
      <c r="D1585" s="5"/>
    </row>
    <row r="1586" spans="1:4" x14ac:dyDescent="0.25">
      <c r="A1586" s="4"/>
      <c r="B1586" s="5"/>
      <c r="C1586" s="5"/>
      <c r="D1586" s="5"/>
    </row>
    <row r="1587" spans="1:4" x14ac:dyDescent="0.25">
      <c r="A1587" s="4"/>
      <c r="B1587" s="5"/>
      <c r="C1587" s="5"/>
      <c r="D1587" s="5"/>
    </row>
    <row r="1588" spans="1:4" x14ac:dyDescent="0.25">
      <c r="A1588" s="4"/>
      <c r="B1588" s="5"/>
      <c r="C1588" s="5"/>
      <c r="D1588" s="5"/>
    </row>
    <row r="1589" spans="1:4" x14ac:dyDescent="0.25">
      <c r="A1589" s="4"/>
      <c r="B1589" s="5"/>
      <c r="C1589" s="5"/>
      <c r="D1589" s="5"/>
    </row>
    <row r="1590" spans="1:4" x14ac:dyDescent="0.25">
      <c r="A1590" s="4"/>
      <c r="B1590" s="5"/>
      <c r="C1590" s="5"/>
      <c r="D1590" s="5"/>
    </row>
    <row r="1591" spans="1:4" x14ac:dyDescent="0.25">
      <c r="A1591" s="4"/>
      <c r="B1591" s="5"/>
      <c r="C1591" s="5"/>
      <c r="D1591" s="5"/>
    </row>
    <row r="1592" spans="1:4" x14ac:dyDescent="0.25">
      <c r="A1592" s="4"/>
      <c r="B1592" s="5"/>
      <c r="C1592" s="5"/>
      <c r="D1592" s="5"/>
    </row>
    <row r="1593" spans="1:4" x14ac:dyDescent="0.25">
      <c r="A1593" s="4"/>
      <c r="B1593" s="5"/>
      <c r="C1593" s="5"/>
      <c r="D1593" s="5"/>
    </row>
    <row r="1594" spans="1:4" x14ac:dyDescent="0.25">
      <c r="A1594" s="4"/>
      <c r="B1594" s="5"/>
      <c r="C1594" s="5"/>
      <c r="D1594" s="5"/>
    </row>
    <row r="1595" spans="1:4" x14ac:dyDescent="0.25">
      <c r="A1595" s="4"/>
      <c r="B1595" s="5"/>
      <c r="C1595" s="5"/>
      <c r="D1595" s="5"/>
    </row>
    <row r="1596" spans="1:4" x14ac:dyDescent="0.25">
      <c r="A1596" s="4"/>
      <c r="B1596" s="5"/>
      <c r="C1596" s="5"/>
      <c r="D1596" s="5"/>
    </row>
    <row r="1597" spans="1:4" x14ac:dyDescent="0.25">
      <c r="A1597" s="4"/>
      <c r="B1597" s="5"/>
      <c r="C1597" s="5"/>
      <c r="D1597" s="5"/>
    </row>
    <row r="1598" spans="1:4" x14ac:dyDescent="0.25">
      <c r="A1598" s="4"/>
      <c r="B1598" s="5"/>
      <c r="C1598" s="5"/>
      <c r="D1598" s="5"/>
    </row>
    <row r="1599" spans="1:4" x14ac:dyDescent="0.25">
      <c r="A1599" s="4"/>
      <c r="B1599" s="5"/>
      <c r="C1599" s="5"/>
      <c r="D1599" s="5"/>
    </row>
    <row r="1600" spans="1:4" x14ac:dyDescent="0.25">
      <c r="A1600" s="4"/>
      <c r="B1600" s="5"/>
      <c r="C1600" s="5"/>
      <c r="D1600" s="5"/>
    </row>
    <row r="1601" spans="1:4" x14ac:dyDescent="0.25">
      <c r="A1601" s="4"/>
      <c r="B1601" s="5"/>
      <c r="C1601" s="5"/>
      <c r="D1601" s="5"/>
    </row>
    <row r="1602" spans="1:4" x14ac:dyDescent="0.25">
      <c r="A1602" s="4"/>
      <c r="B1602" s="5"/>
      <c r="C1602" s="5"/>
      <c r="D1602" s="5"/>
    </row>
    <row r="1603" spans="1:4" x14ac:dyDescent="0.25">
      <c r="A1603" s="4"/>
      <c r="B1603" s="5"/>
      <c r="C1603" s="5"/>
      <c r="D1603" s="5"/>
    </row>
    <row r="1604" spans="1:4" x14ac:dyDescent="0.25">
      <c r="A1604" s="4"/>
      <c r="B1604" s="5"/>
      <c r="C1604" s="5"/>
      <c r="D1604" s="5"/>
    </row>
    <row r="1605" spans="1:4" x14ac:dyDescent="0.25">
      <c r="A1605" s="4"/>
      <c r="B1605" s="5"/>
      <c r="C1605" s="5"/>
      <c r="D1605" s="5"/>
    </row>
    <row r="1606" spans="1:4" x14ac:dyDescent="0.25">
      <c r="A1606" s="4"/>
      <c r="B1606" s="5"/>
      <c r="C1606" s="5"/>
      <c r="D1606" s="5"/>
    </row>
    <row r="1607" spans="1:4" x14ac:dyDescent="0.25">
      <c r="A1607" s="4"/>
      <c r="B1607" s="5"/>
      <c r="C1607" s="5"/>
      <c r="D1607" s="5"/>
    </row>
    <row r="1608" spans="1:4" x14ac:dyDescent="0.25">
      <c r="A1608" s="4"/>
      <c r="B1608" s="5"/>
      <c r="C1608" s="5"/>
      <c r="D1608" s="5"/>
    </row>
    <row r="1609" spans="1:4" x14ac:dyDescent="0.25">
      <c r="A1609" s="4"/>
      <c r="B1609" s="5"/>
      <c r="C1609" s="5"/>
      <c r="D1609" s="5"/>
    </row>
    <row r="1610" spans="1:4" x14ac:dyDescent="0.25">
      <c r="A1610" s="4"/>
      <c r="B1610" s="5"/>
      <c r="C1610" s="5"/>
      <c r="D1610" s="5"/>
    </row>
    <row r="1611" spans="1:4" x14ac:dyDescent="0.25">
      <c r="A1611" s="4"/>
      <c r="B1611" s="5"/>
      <c r="C1611" s="5"/>
      <c r="D1611" s="5"/>
    </row>
    <row r="1612" spans="1:4" x14ac:dyDescent="0.25">
      <c r="A1612" s="4"/>
      <c r="B1612" s="5"/>
      <c r="C1612" s="5"/>
      <c r="D1612" s="5"/>
    </row>
    <row r="1613" spans="1:4" x14ac:dyDescent="0.25">
      <c r="A1613" s="4"/>
      <c r="B1613" s="5"/>
      <c r="C1613" s="5"/>
      <c r="D1613" s="5"/>
    </row>
    <row r="1614" spans="1:4" x14ac:dyDescent="0.25">
      <c r="A1614" s="4"/>
      <c r="B1614" s="5"/>
      <c r="C1614" s="5"/>
      <c r="D1614" s="5"/>
    </row>
    <row r="1615" spans="1:4" x14ac:dyDescent="0.25">
      <c r="A1615" s="4"/>
      <c r="B1615" s="5"/>
      <c r="C1615" s="5"/>
      <c r="D1615" s="5"/>
    </row>
    <row r="1616" spans="1:4" x14ac:dyDescent="0.25">
      <c r="A1616" s="4"/>
      <c r="B1616" s="5"/>
      <c r="C1616" s="5"/>
      <c r="D1616" s="5"/>
    </row>
    <row r="1617" spans="1:4" x14ac:dyDescent="0.25">
      <c r="A1617" s="4"/>
      <c r="B1617" s="5"/>
      <c r="C1617" s="5"/>
      <c r="D1617" s="5"/>
    </row>
    <row r="1618" spans="1:4" x14ac:dyDescent="0.25">
      <c r="A1618" s="4"/>
      <c r="B1618" s="5"/>
      <c r="C1618" s="5"/>
      <c r="D1618" s="5"/>
    </row>
    <row r="1619" spans="1:4" x14ac:dyDescent="0.25">
      <c r="A1619" s="4"/>
      <c r="B1619" s="5"/>
      <c r="C1619" s="5"/>
      <c r="D1619" s="5"/>
    </row>
    <row r="1620" spans="1:4" x14ac:dyDescent="0.25">
      <c r="A1620" s="4"/>
      <c r="B1620" s="5"/>
      <c r="C1620" s="5"/>
      <c r="D1620" s="5"/>
    </row>
    <row r="1621" spans="1:4" x14ac:dyDescent="0.25">
      <c r="A1621" s="4"/>
      <c r="B1621" s="5"/>
      <c r="C1621" s="5"/>
      <c r="D1621" s="5"/>
    </row>
    <row r="1622" spans="1:4" x14ac:dyDescent="0.25">
      <c r="A1622" s="4"/>
      <c r="B1622" s="5"/>
      <c r="C1622" s="5"/>
      <c r="D1622" s="5"/>
    </row>
    <row r="1623" spans="1:4" x14ac:dyDescent="0.25">
      <c r="A1623" s="4"/>
      <c r="B1623" s="5"/>
      <c r="C1623" s="5"/>
      <c r="D1623" s="5"/>
    </row>
    <row r="1624" spans="1:4" x14ac:dyDescent="0.25">
      <c r="A1624" s="4"/>
      <c r="B1624" s="5"/>
      <c r="C1624" s="5"/>
      <c r="D1624" s="5"/>
    </row>
    <row r="1625" spans="1:4" x14ac:dyDescent="0.25">
      <c r="A1625" s="4"/>
      <c r="B1625" s="5"/>
      <c r="C1625" s="5"/>
      <c r="D1625" s="5"/>
    </row>
    <row r="1626" spans="1:4" x14ac:dyDescent="0.25">
      <c r="A1626" s="4"/>
      <c r="B1626" s="5"/>
      <c r="C1626" s="5"/>
      <c r="D1626" s="5"/>
    </row>
    <row r="1627" spans="1:4" x14ac:dyDescent="0.25">
      <c r="A1627" s="4"/>
      <c r="B1627" s="5"/>
      <c r="C1627" s="5"/>
      <c r="D1627" s="5"/>
    </row>
    <row r="1628" spans="1:4" x14ac:dyDescent="0.25">
      <c r="A1628" s="4"/>
      <c r="B1628" s="5"/>
      <c r="C1628" s="5"/>
      <c r="D1628" s="5"/>
    </row>
    <row r="1629" spans="1:4" x14ac:dyDescent="0.25">
      <c r="A1629" s="4"/>
      <c r="B1629" s="5"/>
      <c r="C1629" s="5"/>
      <c r="D1629" s="5"/>
    </row>
    <row r="1630" spans="1:4" x14ac:dyDescent="0.25">
      <c r="A1630" s="4"/>
      <c r="B1630" s="5"/>
      <c r="C1630" s="5"/>
      <c r="D1630" s="5"/>
    </row>
    <row r="1631" spans="1:4" x14ac:dyDescent="0.25">
      <c r="A1631" s="4"/>
      <c r="B1631" s="5"/>
      <c r="C1631" s="5"/>
      <c r="D1631" s="5"/>
    </row>
    <row r="1632" spans="1:4" x14ac:dyDescent="0.25">
      <c r="A1632" s="4"/>
      <c r="B1632" s="5"/>
      <c r="C1632" s="5"/>
      <c r="D1632" s="5"/>
    </row>
    <row r="1633" spans="1:4" x14ac:dyDescent="0.25">
      <c r="A1633" s="4"/>
      <c r="B1633" s="5"/>
      <c r="C1633" s="5"/>
      <c r="D1633" s="5"/>
    </row>
    <row r="1634" spans="1:4" x14ac:dyDescent="0.25">
      <c r="A1634" s="4"/>
      <c r="B1634" s="5"/>
      <c r="C1634" s="5"/>
      <c r="D1634" s="5"/>
    </row>
    <row r="1635" spans="1:4" x14ac:dyDescent="0.25">
      <c r="A1635" s="4"/>
      <c r="B1635" s="5"/>
      <c r="C1635" s="5"/>
      <c r="D1635" s="5"/>
    </row>
    <row r="1636" spans="1:4" x14ac:dyDescent="0.25">
      <c r="A1636" s="4"/>
      <c r="B1636" s="5"/>
      <c r="C1636" s="5"/>
      <c r="D1636" s="5"/>
    </row>
    <row r="1637" spans="1:4" x14ac:dyDescent="0.25">
      <c r="A1637" s="4"/>
      <c r="B1637" s="5"/>
      <c r="C1637" s="5"/>
      <c r="D1637" s="5"/>
    </row>
    <row r="1638" spans="1:4" x14ac:dyDescent="0.25">
      <c r="A1638" s="4"/>
      <c r="B1638" s="5"/>
      <c r="C1638" s="5"/>
      <c r="D1638" s="5"/>
    </row>
    <row r="1639" spans="1:4" x14ac:dyDescent="0.25">
      <c r="A1639" s="4"/>
      <c r="B1639" s="5"/>
      <c r="C1639" s="5"/>
      <c r="D1639" s="5"/>
    </row>
    <row r="1640" spans="1:4" x14ac:dyDescent="0.25">
      <c r="A1640" s="4"/>
      <c r="B1640" s="5"/>
      <c r="C1640" s="5"/>
      <c r="D1640" s="5"/>
    </row>
    <row r="1641" spans="1:4" x14ac:dyDescent="0.25">
      <c r="A1641" s="4"/>
      <c r="B1641" s="5"/>
      <c r="C1641" s="5"/>
      <c r="D1641" s="5"/>
    </row>
    <row r="1642" spans="1:4" x14ac:dyDescent="0.25">
      <c r="A1642" s="4"/>
      <c r="B1642" s="5"/>
      <c r="C1642" s="5"/>
      <c r="D1642" s="5"/>
    </row>
    <row r="1643" spans="1:4" x14ac:dyDescent="0.25">
      <c r="A1643" s="4"/>
      <c r="B1643" s="5"/>
      <c r="C1643" s="5"/>
      <c r="D1643" s="5"/>
    </row>
    <row r="1644" spans="1:4" x14ac:dyDescent="0.25">
      <c r="A1644" s="4"/>
      <c r="B1644" s="5"/>
      <c r="C1644" s="5"/>
      <c r="D1644" s="5"/>
    </row>
    <row r="1645" spans="1:4" x14ac:dyDescent="0.25">
      <c r="A1645" s="4"/>
      <c r="B1645" s="5"/>
      <c r="C1645" s="5"/>
      <c r="D1645" s="5"/>
    </row>
    <row r="1646" spans="1:4" x14ac:dyDescent="0.25">
      <c r="A1646" s="4"/>
      <c r="B1646" s="5"/>
      <c r="C1646" s="5"/>
      <c r="D1646" s="5"/>
    </row>
    <row r="1647" spans="1:4" x14ac:dyDescent="0.25">
      <c r="A1647" s="4"/>
      <c r="B1647" s="5"/>
      <c r="C1647" s="5"/>
      <c r="D1647" s="5"/>
    </row>
    <row r="1648" spans="1:4" x14ac:dyDescent="0.25">
      <c r="A1648" s="4"/>
      <c r="B1648" s="5"/>
      <c r="C1648" s="5"/>
      <c r="D1648" s="5"/>
    </row>
    <row r="1649" spans="1:4" x14ac:dyDescent="0.25">
      <c r="A1649" s="4"/>
      <c r="B1649" s="5"/>
      <c r="C1649" s="5"/>
      <c r="D1649" s="5"/>
    </row>
    <row r="1650" spans="1:4" x14ac:dyDescent="0.25">
      <c r="A1650" s="4"/>
      <c r="B1650" s="5"/>
      <c r="C1650" s="5"/>
      <c r="D1650" s="5"/>
    </row>
    <row r="1651" spans="1:4" x14ac:dyDescent="0.25">
      <c r="A1651" s="4"/>
      <c r="B1651" s="5"/>
      <c r="C1651" s="5"/>
      <c r="D1651" s="5"/>
    </row>
    <row r="1652" spans="1:4" x14ac:dyDescent="0.25">
      <c r="A1652" s="4"/>
      <c r="B1652" s="5"/>
      <c r="C1652" s="5"/>
      <c r="D1652" s="5"/>
    </row>
    <row r="1653" spans="1:4" x14ac:dyDescent="0.25">
      <c r="A1653" s="4"/>
      <c r="B1653" s="5"/>
      <c r="C1653" s="5"/>
      <c r="D1653" s="5"/>
    </row>
    <row r="1654" spans="1:4" x14ac:dyDescent="0.25">
      <c r="A1654" s="4"/>
      <c r="B1654" s="5"/>
      <c r="C1654" s="5"/>
      <c r="D1654" s="5"/>
    </row>
    <row r="1655" spans="1:4" x14ac:dyDescent="0.25">
      <c r="A1655" s="4"/>
      <c r="B1655" s="5"/>
      <c r="C1655" s="5"/>
      <c r="D1655" s="5"/>
    </row>
    <row r="1656" spans="1:4" x14ac:dyDescent="0.25">
      <c r="A1656" s="4"/>
      <c r="B1656" s="5"/>
      <c r="C1656" s="5"/>
      <c r="D1656" s="5"/>
    </row>
    <row r="1657" spans="1:4" x14ac:dyDescent="0.25">
      <c r="A1657" s="4"/>
      <c r="B1657" s="5"/>
      <c r="C1657" s="5"/>
      <c r="D1657" s="5"/>
    </row>
    <row r="1658" spans="1:4" x14ac:dyDescent="0.25">
      <c r="A1658" s="4"/>
      <c r="B1658" s="5"/>
      <c r="C1658" s="5"/>
      <c r="D1658" s="5"/>
    </row>
    <row r="1659" spans="1:4" x14ac:dyDescent="0.25">
      <c r="A1659" s="4"/>
      <c r="B1659" s="5"/>
      <c r="C1659" s="5"/>
      <c r="D1659" s="5"/>
    </row>
    <row r="1660" spans="1:4" x14ac:dyDescent="0.25">
      <c r="A1660" s="4"/>
      <c r="B1660" s="5"/>
      <c r="C1660" s="5"/>
      <c r="D1660" s="5"/>
    </row>
    <row r="1661" spans="1:4" x14ac:dyDescent="0.25">
      <c r="A1661" s="4"/>
      <c r="B1661" s="5"/>
      <c r="C1661" s="5"/>
      <c r="D1661" s="5"/>
    </row>
    <row r="1662" spans="1:4" x14ac:dyDescent="0.25">
      <c r="A1662" s="4"/>
      <c r="B1662" s="5"/>
      <c r="C1662" s="5"/>
      <c r="D1662" s="5"/>
    </row>
    <row r="1663" spans="1:4" x14ac:dyDescent="0.25">
      <c r="A1663" s="4"/>
      <c r="B1663" s="5"/>
      <c r="C1663" s="5"/>
      <c r="D1663" s="5"/>
    </row>
    <row r="1664" spans="1:4" x14ac:dyDescent="0.25">
      <c r="A1664" s="4"/>
      <c r="B1664" s="5"/>
      <c r="C1664" s="5"/>
      <c r="D1664" s="5"/>
    </row>
    <row r="1665" spans="1:4" x14ac:dyDescent="0.25">
      <c r="A1665" s="4"/>
      <c r="B1665" s="5"/>
      <c r="C1665" s="5"/>
      <c r="D1665" s="5"/>
    </row>
    <row r="1666" spans="1:4" x14ac:dyDescent="0.25">
      <c r="A1666" s="4"/>
      <c r="B1666" s="5"/>
      <c r="C1666" s="5"/>
      <c r="D1666" s="5"/>
    </row>
    <row r="1667" spans="1:4" x14ac:dyDescent="0.25">
      <c r="A1667" s="4"/>
      <c r="B1667" s="5"/>
      <c r="C1667" s="5"/>
      <c r="D1667" s="5"/>
    </row>
    <row r="1668" spans="1:4" x14ac:dyDescent="0.25">
      <c r="A1668" s="4"/>
      <c r="B1668" s="5"/>
      <c r="C1668" s="5"/>
      <c r="D1668" s="5"/>
    </row>
    <row r="1669" spans="1:4" x14ac:dyDescent="0.25">
      <c r="A1669" s="4"/>
      <c r="B1669" s="5"/>
      <c r="C1669" s="5"/>
      <c r="D1669" s="5"/>
    </row>
    <row r="1670" spans="1:4" x14ac:dyDescent="0.25">
      <c r="A1670" s="4"/>
      <c r="B1670" s="5"/>
      <c r="C1670" s="5"/>
      <c r="D1670" s="5"/>
    </row>
    <row r="1671" spans="1:4" x14ac:dyDescent="0.25">
      <c r="A1671" s="4"/>
      <c r="B1671" s="5"/>
      <c r="C1671" s="5"/>
      <c r="D1671" s="5"/>
    </row>
    <row r="1672" spans="1:4" x14ac:dyDescent="0.25">
      <c r="A1672" s="4"/>
      <c r="B1672" s="5"/>
      <c r="C1672" s="5"/>
      <c r="D1672" s="5"/>
    </row>
    <row r="1673" spans="1:4" x14ac:dyDescent="0.25">
      <c r="A1673" s="4"/>
      <c r="B1673" s="5"/>
      <c r="C1673" s="5"/>
      <c r="D1673" s="5"/>
    </row>
    <row r="1674" spans="1:4" x14ac:dyDescent="0.25">
      <c r="A1674" s="4"/>
      <c r="B1674" s="5"/>
      <c r="C1674" s="5"/>
      <c r="D1674" s="5"/>
    </row>
    <row r="1675" spans="1:4" x14ac:dyDescent="0.25">
      <c r="A1675" s="4"/>
      <c r="B1675" s="5"/>
      <c r="C1675" s="5"/>
      <c r="D1675" s="5"/>
    </row>
    <row r="1676" spans="1:4" x14ac:dyDescent="0.25">
      <c r="A1676" s="4"/>
      <c r="B1676" s="5"/>
      <c r="C1676" s="5"/>
      <c r="D1676" s="5"/>
    </row>
    <row r="1677" spans="1:4" x14ac:dyDescent="0.25">
      <c r="A1677" s="4"/>
      <c r="B1677" s="5"/>
      <c r="C1677" s="5"/>
      <c r="D1677" s="5"/>
    </row>
    <row r="1678" spans="1:4" x14ac:dyDescent="0.25">
      <c r="A1678" s="4"/>
      <c r="B1678" s="5"/>
      <c r="C1678" s="5"/>
      <c r="D1678" s="5"/>
    </row>
    <row r="1679" spans="1:4" x14ac:dyDescent="0.25">
      <c r="A1679" s="4"/>
      <c r="B1679" s="5"/>
      <c r="C1679" s="5"/>
      <c r="D1679" s="5"/>
    </row>
    <row r="1680" spans="1:4" x14ac:dyDescent="0.25">
      <c r="A1680" s="4"/>
      <c r="B1680" s="5"/>
      <c r="C1680" s="5"/>
      <c r="D1680" s="5"/>
    </row>
    <row r="1681" spans="1:4" x14ac:dyDescent="0.25">
      <c r="A1681" s="4"/>
      <c r="B1681" s="5"/>
      <c r="C1681" s="5"/>
      <c r="D1681" s="5"/>
    </row>
    <row r="1682" spans="1:4" x14ac:dyDescent="0.25">
      <c r="A1682" s="4"/>
      <c r="B1682" s="5"/>
      <c r="C1682" s="5"/>
      <c r="D1682" s="5"/>
    </row>
    <row r="1683" spans="1:4" x14ac:dyDescent="0.25">
      <c r="A1683" s="4"/>
      <c r="B1683" s="5"/>
      <c r="C1683" s="5"/>
      <c r="D1683" s="5"/>
    </row>
    <row r="1684" spans="1:4" x14ac:dyDescent="0.25">
      <c r="A1684" s="4"/>
      <c r="B1684" s="5"/>
      <c r="C1684" s="5"/>
      <c r="D1684" s="5"/>
    </row>
    <row r="1685" spans="1:4" x14ac:dyDescent="0.25">
      <c r="A1685" s="4"/>
      <c r="B1685" s="5"/>
      <c r="C1685" s="5"/>
      <c r="D1685" s="5"/>
    </row>
    <row r="1686" spans="1:4" x14ac:dyDescent="0.25">
      <c r="A1686" s="4"/>
      <c r="B1686" s="5"/>
      <c r="C1686" s="5"/>
      <c r="D1686" s="5"/>
    </row>
    <row r="1687" spans="1:4" x14ac:dyDescent="0.25">
      <c r="A1687" s="4"/>
      <c r="B1687" s="5"/>
      <c r="C1687" s="5"/>
      <c r="D1687" s="5"/>
    </row>
    <row r="1688" spans="1:4" x14ac:dyDescent="0.25">
      <c r="A1688" s="4"/>
      <c r="B1688" s="5"/>
      <c r="C1688" s="5"/>
      <c r="D1688" s="5"/>
    </row>
    <row r="1689" spans="1:4" x14ac:dyDescent="0.25">
      <c r="A1689" s="4"/>
      <c r="B1689" s="5"/>
      <c r="C1689" s="5"/>
      <c r="D1689" s="5"/>
    </row>
    <row r="1690" spans="1:4" x14ac:dyDescent="0.25">
      <c r="A1690" s="4"/>
      <c r="B1690" s="5"/>
      <c r="C1690" s="5"/>
      <c r="D1690" s="5"/>
    </row>
    <row r="1691" spans="1:4" x14ac:dyDescent="0.25">
      <c r="A1691" s="4"/>
      <c r="B1691" s="5"/>
      <c r="C1691" s="5"/>
      <c r="D1691" s="5"/>
    </row>
    <row r="1692" spans="1:4" x14ac:dyDescent="0.25">
      <c r="A1692" s="4"/>
      <c r="B1692" s="5"/>
      <c r="C1692" s="5"/>
      <c r="D1692" s="5"/>
    </row>
    <row r="1693" spans="1:4" x14ac:dyDescent="0.25">
      <c r="A1693" s="4"/>
      <c r="B1693" s="5"/>
      <c r="C1693" s="5"/>
      <c r="D1693" s="5"/>
    </row>
    <row r="1694" spans="1:4" x14ac:dyDescent="0.25">
      <c r="A1694" s="4"/>
      <c r="B1694" s="5"/>
      <c r="C1694" s="5"/>
      <c r="D1694" s="5"/>
    </row>
    <row r="1695" spans="1:4" x14ac:dyDescent="0.25">
      <c r="A1695" s="4"/>
      <c r="B1695" s="5"/>
      <c r="C1695" s="5"/>
      <c r="D1695" s="5"/>
    </row>
    <row r="1696" spans="1:4" x14ac:dyDescent="0.25">
      <c r="A1696" s="4"/>
      <c r="B1696" s="5"/>
      <c r="C1696" s="5"/>
      <c r="D1696" s="5"/>
    </row>
    <row r="1697" spans="1:4" x14ac:dyDescent="0.25">
      <c r="A1697" s="4"/>
      <c r="B1697" s="5"/>
      <c r="C1697" s="5"/>
      <c r="D1697" s="5"/>
    </row>
    <row r="1698" spans="1:4" x14ac:dyDescent="0.25">
      <c r="A1698" s="4"/>
      <c r="B1698" s="5"/>
      <c r="C1698" s="5"/>
      <c r="D1698" s="5"/>
    </row>
    <row r="1699" spans="1:4" x14ac:dyDescent="0.25">
      <c r="A1699" s="4"/>
      <c r="B1699" s="5"/>
      <c r="C1699" s="5"/>
      <c r="D1699" s="5"/>
    </row>
    <row r="1700" spans="1:4" x14ac:dyDescent="0.25">
      <c r="A1700" s="4"/>
      <c r="B1700" s="5"/>
      <c r="C1700" s="5"/>
      <c r="D1700" s="5"/>
    </row>
    <row r="1701" spans="1:4" x14ac:dyDescent="0.25">
      <c r="A1701" s="4"/>
      <c r="B1701" s="5"/>
      <c r="C1701" s="5"/>
      <c r="D1701" s="5"/>
    </row>
    <row r="1702" spans="1:4" x14ac:dyDescent="0.25">
      <c r="A1702" s="4"/>
      <c r="B1702" s="5"/>
      <c r="C1702" s="5"/>
      <c r="D1702" s="5"/>
    </row>
    <row r="1703" spans="1:4" x14ac:dyDescent="0.25">
      <c r="A1703" s="4"/>
      <c r="B1703" s="5"/>
      <c r="C1703" s="5"/>
      <c r="D1703" s="5"/>
    </row>
    <row r="1704" spans="1:4" x14ac:dyDescent="0.25">
      <c r="A1704" s="4"/>
      <c r="B1704" s="5"/>
      <c r="C1704" s="5"/>
      <c r="D1704" s="5"/>
    </row>
    <row r="1705" spans="1:4" x14ac:dyDescent="0.25">
      <c r="A1705" s="4"/>
      <c r="B1705" s="5"/>
      <c r="C1705" s="5"/>
      <c r="D1705" s="5"/>
    </row>
    <row r="1706" spans="1:4" x14ac:dyDescent="0.25">
      <c r="A1706" s="4"/>
      <c r="B1706" s="5"/>
      <c r="C1706" s="5"/>
      <c r="D1706" s="5"/>
    </row>
    <row r="1707" spans="1:4" x14ac:dyDescent="0.25">
      <c r="A1707" s="4"/>
      <c r="B1707" s="5"/>
      <c r="C1707" s="5"/>
      <c r="D1707" s="5"/>
    </row>
    <row r="1708" spans="1:4" x14ac:dyDescent="0.25">
      <c r="A1708" s="4"/>
      <c r="B1708" s="5"/>
      <c r="C1708" s="5"/>
      <c r="D1708" s="5"/>
    </row>
    <row r="1709" spans="1:4" x14ac:dyDescent="0.25">
      <c r="A1709" s="4"/>
      <c r="B1709" s="5"/>
      <c r="C1709" s="5"/>
      <c r="D1709" s="5"/>
    </row>
    <row r="1710" spans="1:4" x14ac:dyDescent="0.25">
      <c r="A1710" s="4"/>
      <c r="B1710" s="5"/>
      <c r="C1710" s="5"/>
      <c r="D1710" s="5"/>
    </row>
    <row r="1711" spans="1:4" x14ac:dyDescent="0.25">
      <c r="A1711" s="4"/>
      <c r="B1711" s="5"/>
      <c r="C1711" s="5"/>
      <c r="D1711" s="5"/>
    </row>
    <row r="1712" spans="1:4" x14ac:dyDescent="0.25">
      <c r="A1712" s="4"/>
      <c r="B1712" s="5"/>
      <c r="C1712" s="5"/>
      <c r="D1712" s="5"/>
    </row>
    <row r="1713" spans="1:4" x14ac:dyDescent="0.25">
      <c r="A1713" s="4"/>
      <c r="B1713" s="5"/>
      <c r="C1713" s="5"/>
      <c r="D1713" s="5"/>
    </row>
    <row r="1714" spans="1:4" x14ac:dyDescent="0.25">
      <c r="A1714" s="4"/>
      <c r="B1714" s="5"/>
      <c r="C1714" s="5"/>
      <c r="D1714" s="5"/>
    </row>
    <row r="1715" spans="1:4" x14ac:dyDescent="0.25">
      <c r="A1715" s="4"/>
      <c r="B1715" s="5"/>
      <c r="C1715" s="5"/>
      <c r="D1715" s="5"/>
    </row>
    <row r="1716" spans="1:4" x14ac:dyDescent="0.25">
      <c r="A1716" s="4"/>
      <c r="B1716" s="5"/>
      <c r="C1716" s="5"/>
      <c r="D1716" s="5"/>
    </row>
    <row r="1717" spans="1:4" x14ac:dyDescent="0.25">
      <c r="A1717" s="4"/>
      <c r="B1717" s="5"/>
      <c r="C1717" s="5"/>
      <c r="D1717" s="5"/>
    </row>
    <row r="1718" spans="1:4" x14ac:dyDescent="0.25">
      <c r="A1718" s="4"/>
      <c r="B1718" s="5"/>
      <c r="C1718" s="5"/>
      <c r="D1718" s="5"/>
    </row>
    <row r="1719" spans="1:4" x14ac:dyDescent="0.25">
      <c r="A1719" s="4"/>
      <c r="B1719" s="5"/>
      <c r="C1719" s="5"/>
      <c r="D1719" s="5"/>
    </row>
    <row r="1720" spans="1:4" x14ac:dyDescent="0.25">
      <c r="A1720" s="4"/>
      <c r="B1720" s="5"/>
      <c r="C1720" s="5"/>
      <c r="D1720" s="5"/>
    </row>
    <row r="1721" spans="1:4" x14ac:dyDescent="0.25">
      <c r="A1721" s="4"/>
      <c r="B1721" s="5"/>
      <c r="C1721" s="5"/>
      <c r="D1721" s="5"/>
    </row>
    <row r="1722" spans="1:4" x14ac:dyDescent="0.25">
      <c r="A1722" s="4"/>
      <c r="B1722" s="5"/>
      <c r="C1722" s="5"/>
      <c r="D1722" s="5"/>
    </row>
    <row r="1723" spans="1:4" x14ac:dyDescent="0.25">
      <c r="A1723" s="4"/>
      <c r="B1723" s="5"/>
      <c r="C1723" s="5"/>
      <c r="D1723" s="5"/>
    </row>
    <row r="1724" spans="1:4" x14ac:dyDescent="0.25">
      <c r="A1724" s="4"/>
      <c r="B1724" s="5"/>
      <c r="C1724" s="5"/>
      <c r="D1724" s="5"/>
    </row>
    <row r="1725" spans="1:4" x14ac:dyDescent="0.25">
      <c r="A1725" s="4"/>
      <c r="B1725" s="5"/>
      <c r="C1725" s="5"/>
      <c r="D1725" s="5"/>
    </row>
    <row r="1726" spans="1:4" x14ac:dyDescent="0.25">
      <c r="A1726" s="4"/>
      <c r="B1726" s="5"/>
      <c r="C1726" s="5"/>
      <c r="D1726" s="5"/>
    </row>
    <row r="1727" spans="1:4" x14ac:dyDescent="0.25">
      <c r="A1727" s="4"/>
      <c r="B1727" s="5"/>
      <c r="C1727" s="5"/>
      <c r="D1727" s="5"/>
    </row>
    <row r="1728" spans="1:4" x14ac:dyDescent="0.25">
      <c r="A1728" s="4"/>
      <c r="B1728" s="5"/>
      <c r="C1728" s="5"/>
      <c r="D1728" s="5"/>
    </row>
    <row r="1729" spans="1:4" x14ac:dyDescent="0.25">
      <c r="A1729" s="4"/>
      <c r="B1729" s="5"/>
      <c r="C1729" s="5"/>
      <c r="D1729" s="5"/>
    </row>
    <row r="1730" spans="1:4" x14ac:dyDescent="0.25">
      <c r="A1730" s="4"/>
      <c r="B1730" s="5"/>
      <c r="C1730" s="5"/>
      <c r="D1730" s="5"/>
    </row>
    <row r="1731" spans="1:4" x14ac:dyDescent="0.25">
      <c r="A1731" s="4"/>
      <c r="B1731" s="5"/>
      <c r="C1731" s="5"/>
      <c r="D1731" s="5"/>
    </row>
    <row r="1732" spans="1:4" x14ac:dyDescent="0.25">
      <c r="A1732" s="4"/>
      <c r="B1732" s="5"/>
      <c r="C1732" s="5"/>
      <c r="D1732" s="5"/>
    </row>
    <row r="1733" spans="1:4" x14ac:dyDescent="0.25">
      <c r="A1733" s="4"/>
      <c r="B1733" s="5"/>
      <c r="C1733" s="5"/>
      <c r="D1733" s="5"/>
    </row>
    <row r="1734" spans="1:4" x14ac:dyDescent="0.25">
      <c r="A1734" s="4"/>
      <c r="B1734" s="5"/>
      <c r="C1734" s="5"/>
      <c r="D1734" s="5"/>
    </row>
    <row r="1735" spans="1:4" x14ac:dyDescent="0.25">
      <c r="A1735" s="4"/>
      <c r="B1735" s="5"/>
      <c r="C1735" s="5"/>
      <c r="D1735" s="5"/>
    </row>
    <row r="1736" spans="1:4" x14ac:dyDescent="0.25">
      <c r="A1736" s="4"/>
      <c r="B1736" s="5"/>
      <c r="C1736" s="5"/>
      <c r="D1736" s="5"/>
    </row>
    <row r="1737" spans="1:4" x14ac:dyDescent="0.25">
      <c r="A1737" s="4"/>
      <c r="B1737" s="5"/>
      <c r="C1737" s="5"/>
      <c r="D1737" s="5"/>
    </row>
    <row r="1738" spans="1:4" x14ac:dyDescent="0.25">
      <c r="A1738" s="4"/>
      <c r="B1738" s="5"/>
      <c r="C1738" s="5"/>
      <c r="D1738" s="5"/>
    </row>
    <row r="1739" spans="1:4" x14ac:dyDescent="0.25">
      <c r="A1739" s="4"/>
      <c r="B1739" s="5"/>
      <c r="C1739" s="5"/>
      <c r="D1739" s="5"/>
    </row>
    <row r="1740" spans="1:4" x14ac:dyDescent="0.25">
      <c r="A1740" s="4"/>
      <c r="B1740" s="5"/>
      <c r="C1740" s="5"/>
      <c r="D1740" s="5"/>
    </row>
    <row r="1741" spans="1:4" x14ac:dyDescent="0.25">
      <c r="A1741" s="4"/>
      <c r="B1741" s="5"/>
      <c r="C1741" s="5"/>
      <c r="D1741" s="5"/>
    </row>
    <row r="1742" spans="1:4" x14ac:dyDescent="0.25">
      <c r="A1742" s="4"/>
      <c r="B1742" s="5"/>
      <c r="C1742" s="5"/>
      <c r="D1742" s="5"/>
    </row>
    <row r="1743" spans="1:4" x14ac:dyDescent="0.25">
      <c r="A1743" s="4"/>
      <c r="B1743" s="5"/>
      <c r="C1743" s="5"/>
      <c r="D1743" s="5"/>
    </row>
    <row r="1744" spans="1:4" x14ac:dyDescent="0.25">
      <c r="A1744" s="4"/>
      <c r="B1744" s="5"/>
      <c r="C1744" s="5"/>
      <c r="D1744" s="5"/>
    </row>
    <row r="1745" spans="1:4" x14ac:dyDescent="0.25">
      <c r="A1745" s="4"/>
      <c r="B1745" s="5"/>
      <c r="C1745" s="5"/>
      <c r="D1745" s="5"/>
    </row>
    <row r="1746" spans="1:4" x14ac:dyDescent="0.25">
      <c r="A1746" s="4"/>
      <c r="B1746" s="5"/>
      <c r="C1746" s="5"/>
      <c r="D1746" s="5"/>
    </row>
    <row r="1747" spans="1:4" x14ac:dyDescent="0.25">
      <c r="A1747" s="4"/>
      <c r="B1747" s="5"/>
      <c r="C1747" s="5"/>
      <c r="D1747" s="5"/>
    </row>
    <row r="1748" spans="1:4" x14ac:dyDescent="0.25">
      <c r="A1748" s="4"/>
      <c r="B1748" s="5"/>
      <c r="C1748" s="5"/>
      <c r="D1748" s="5"/>
    </row>
    <row r="1749" spans="1:4" x14ac:dyDescent="0.25">
      <c r="A1749" s="4"/>
      <c r="B1749" s="5"/>
      <c r="C1749" s="5"/>
      <c r="D1749" s="5"/>
    </row>
    <row r="1750" spans="1:4" x14ac:dyDescent="0.25">
      <c r="A1750" s="4"/>
      <c r="B1750" s="5"/>
      <c r="C1750" s="5"/>
      <c r="D1750" s="5"/>
    </row>
    <row r="1751" spans="1:4" x14ac:dyDescent="0.25">
      <c r="A1751" s="4"/>
      <c r="B1751" s="5"/>
      <c r="C1751" s="5"/>
      <c r="D1751" s="5"/>
    </row>
    <row r="1752" spans="1:4" x14ac:dyDescent="0.25">
      <c r="A1752" s="4"/>
      <c r="B1752" s="5"/>
      <c r="C1752" s="5"/>
      <c r="D1752" s="5"/>
    </row>
    <row r="1753" spans="1:4" x14ac:dyDescent="0.25">
      <c r="A1753" s="4"/>
      <c r="B1753" s="5"/>
      <c r="C1753" s="5"/>
      <c r="D1753" s="5"/>
    </row>
    <row r="1754" spans="1:4" x14ac:dyDescent="0.25">
      <c r="A1754" s="4"/>
      <c r="B1754" s="5"/>
      <c r="C1754" s="5"/>
      <c r="D1754" s="5"/>
    </row>
    <row r="1755" spans="1:4" x14ac:dyDescent="0.25">
      <c r="A1755" s="4"/>
      <c r="B1755" s="5"/>
      <c r="C1755" s="5"/>
      <c r="D1755" s="5"/>
    </row>
    <row r="1756" spans="1:4" x14ac:dyDescent="0.25">
      <c r="A1756" s="4"/>
      <c r="B1756" s="5"/>
      <c r="C1756" s="5"/>
      <c r="D1756" s="5"/>
    </row>
    <row r="1757" spans="1:4" x14ac:dyDescent="0.25">
      <c r="A1757" s="4"/>
      <c r="B1757" s="5"/>
      <c r="C1757" s="5"/>
      <c r="D1757" s="5"/>
    </row>
    <row r="1758" spans="1:4" x14ac:dyDescent="0.25">
      <c r="A1758" s="4"/>
      <c r="B1758" s="5"/>
      <c r="C1758" s="5"/>
      <c r="D1758" s="5"/>
    </row>
    <row r="1759" spans="1:4" x14ac:dyDescent="0.25">
      <c r="A1759" s="4"/>
      <c r="B1759" s="5"/>
      <c r="C1759" s="5"/>
      <c r="D1759" s="5"/>
    </row>
    <row r="1760" spans="1:4" x14ac:dyDescent="0.25">
      <c r="A1760" s="4"/>
      <c r="B1760" s="5"/>
      <c r="C1760" s="5"/>
      <c r="D1760" s="5"/>
    </row>
    <row r="1761" spans="1:4" x14ac:dyDescent="0.25">
      <c r="A1761" s="4"/>
      <c r="B1761" s="5"/>
      <c r="C1761" s="5"/>
      <c r="D1761" s="5"/>
    </row>
    <row r="1762" spans="1:4" x14ac:dyDescent="0.25">
      <c r="A1762" s="4"/>
      <c r="B1762" s="5"/>
      <c r="C1762" s="5"/>
      <c r="D1762" s="5"/>
    </row>
    <row r="1763" spans="1:4" x14ac:dyDescent="0.25">
      <c r="A1763" s="4"/>
      <c r="B1763" s="5"/>
      <c r="C1763" s="5"/>
      <c r="D1763" s="5"/>
    </row>
    <row r="1764" spans="1:4" x14ac:dyDescent="0.25">
      <c r="A1764" s="4"/>
      <c r="B1764" s="5"/>
      <c r="C1764" s="5"/>
      <c r="D1764" s="5"/>
    </row>
    <row r="1765" spans="1:4" x14ac:dyDescent="0.25">
      <c r="A1765" s="4"/>
      <c r="B1765" s="5"/>
      <c r="C1765" s="5"/>
      <c r="D1765" s="5"/>
    </row>
    <row r="1766" spans="1:4" x14ac:dyDescent="0.25">
      <c r="A1766" s="4"/>
      <c r="B1766" s="5"/>
      <c r="C1766" s="5"/>
      <c r="D1766" s="5"/>
    </row>
    <row r="1767" spans="1:4" x14ac:dyDescent="0.25">
      <c r="A1767" s="4"/>
      <c r="B1767" s="5"/>
      <c r="C1767" s="5"/>
      <c r="D1767" s="5"/>
    </row>
    <row r="1768" spans="1:4" x14ac:dyDescent="0.25">
      <c r="A1768" s="4"/>
      <c r="B1768" s="5"/>
      <c r="C1768" s="5"/>
      <c r="D1768" s="5"/>
    </row>
    <row r="1769" spans="1:4" x14ac:dyDescent="0.25">
      <c r="A1769" s="4"/>
      <c r="B1769" s="5"/>
      <c r="C1769" s="5"/>
      <c r="D1769" s="5"/>
    </row>
    <row r="1770" spans="1:4" x14ac:dyDescent="0.25">
      <c r="A1770" s="4"/>
      <c r="B1770" s="5"/>
      <c r="C1770" s="5"/>
      <c r="D1770" s="5"/>
    </row>
    <row r="1771" spans="1:4" x14ac:dyDescent="0.25">
      <c r="A1771" s="4"/>
      <c r="B1771" s="5"/>
      <c r="C1771" s="5"/>
      <c r="D1771" s="5"/>
    </row>
    <row r="1772" spans="1:4" x14ac:dyDescent="0.25">
      <c r="A1772" s="4"/>
      <c r="B1772" s="5"/>
      <c r="C1772" s="5"/>
      <c r="D1772" s="5"/>
    </row>
    <row r="1773" spans="1:4" x14ac:dyDescent="0.25">
      <c r="A1773" s="4"/>
      <c r="B1773" s="5"/>
      <c r="C1773" s="5"/>
      <c r="D1773" s="5"/>
    </row>
    <row r="1774" spans="1:4" x14ac:dyDescent="0.25">
      <c r="A1774" s="4"/>
      <c r="B1774" s="5"/>
      <c r="C1774" s="5"/>
      <c r="D1774" s="5"/>
    </row>
    <row r="1775" spans="1:4" x14ac:dyDescent="0.25">
      <c r="A1775" s="4"/>
      <c r="B1775" s="5"/>
      <c r="C1775" s="5"/>
      <c r="D1775" s="5"/>
    </row>
    <row r="1776" spans="1:4" x14ac:dyDescent="0.25">
      <c r="A1776" s="4"/>
      <c r="B1776" s="5"/>
      <c r="C1776" s="5"/>
      <c r="D1776" s="5"/>
    </row>
    <row r="1777" spans="1:4" x14ac:dyDescent="0.25">
      <c r="A1777" s="4"/>
      <c r="B1777" s="5"/>
      <c r="C1777" s="5"/>
      <c r="D1777" s="5"/>
    </row>
    <row r="1778" spans="1:4" x14ac:dyDescent="0.25">
      <c r="A1778" s="4"/>
      <c r="B1778" s="5"/>
      <c r="C1778" s="5"/>
      <c r="D1778" s="5"/>
    </row>
    <row r="1779" spans="1:4" x14ac:dyDescent="0.25">
      <c r="A1779" s="4"/>
      <c r="B1779" s="5"/>
      <c r="C1779" s="5"/>
      <c r="D1779" s="5"/>
    </row>
    <row r="1780" spans="1:4" x14ac:dyDescent="0.25">
      <c r="A1780" s="4"/>
      <c r="B1780" s="5"/>
      <c r="C1780" s="5"/>
      <c r="D1780" s="5"/>
    </row>
    <row r="1781" spans="1:4" x14ac:dyDescent="0.25">
      <c r="A1781" s="4"/>
      <c r="B1781" s="5"/>
      <c r="C1781" s="5"/>
      <c r="D1781" s="5"/>
    </row>
    <row r="1782" spans="1:4" x14ac:dyDescent="0.25">
      <c r="A1782" s="4"/>
      <c r="B1782" s="5"/>
      <c r="C1782" s="5"/>
      <c r="D1782" s="5"/>
    </row>
    <row r="1783" spans="1:4" x14ac:dyDescent="0.25">
      <c r="A1783" s="4"/>
      <c r="B1783" s="5"/>
      <c r="C1783" s="5"/>
      <c r="D1783" s="5"/>
    </row>
    <row r="1784" spans="1:4" x14ac:dyDescent="0.25">
      <c r="A1784" s="4"/>
      <c r="B1784" s="5"/>
      <c r="C1784" s="5"/>
      <c r="D1784" s="5"/>
    </row>
    <row r="1785" spans="1:4" x14ac:dyDescent="0.25">
      <c r="A1785" s="4"/>
      <c r="B1785" s="5"/>
      <c r="C1785" s="5"/>
      <c r="D1785" s="5"/>
    </row>
    <row r="1786" spans="1:4" x14ac:dyDescent="0.25">
      <c r="A1786" s="4"/>
      <c r="B1786" s="5"/>
      <c r="C1786" s="5"/>
      <c r="D1786" s="5"/>
    </row>
    <row r="1787" spans="1:4" x14ac:dyDescent="0.25">
      <c r="A1787" s="4"/>
      <c r="B1787" s="5"/>
      <c r="C1787" s="5"/>
      <c r="D1787" s="5"/>
    </row>
    <row r="1788" spans="1:4" x14ac:dyDescent="0.25">
      <c r="A1788" s="4"/>
      <c r="B1788" s="5"/>
      <c r="C1788" s="5"/>
      <c r="D1788" s="5"/>
    </row>
    <row r="1789" spans="1:4" x14ac:dyDescent="0.25">
      <c r="A1789" s="4"/>
      <c r="B1789" s="5"/>
      <c r="C1789" s="5"/>
      <c r="D1789" s="5"/>
    </row>
    <row r="1790" spans="1:4" x14ac:dyDescent="0.25">
      <c r="A1790" s="4"/>
      <c r="B1790" s="5"/>
      <c r="C1790" s="5"/>
      <c r="D1790" s="5"/>
    </row>
    <row r="1791" spans="1:4" x14ac:dyDescent="0.25">
      <c r="A1791" s="4"/>
      <c r="B1791" s="5"/>
      <c r="C1791" s="5"/>
      <c r="D1791" s="5"/>
    </row>
    <row r="1792" spans="1:4" x14ac:dyDescent="0.25">
      <c r="A1792" s="4"/>
      <c r="B1792" s="5"/>
      <c r="C1792" s="5"/>
      <c r="D1792" s="5"/>
    </row>
    <row r="1793" spans="1:4" x14ac:dyDescent="0.25">
      <c r="A1793" s="4"/>
      <c r="B1793" s="5"/>
      <c r="C1793" s="5"/>
      <c r="D1793" s="5"/>
    </row>
    <row r="1794" spans="1:4" x14ac:dyDescent="0.25">
      <c r="A1794" s="4"/>
      <c r="B1794" s="5"/>
      <c r="C1794" s="5"/>
      <c r="D1794" s="5"/>
    </row>
    <row r="1795" spans="1:4" x14ac:dyDescent="0.25">
      <c r="A1795" s="4"/>
      <c r="B1795" s="5"/>
      <c r="C1795" s="5"/>
      <c r="D1795" s="5"/>
    </row>
    <row r="1796" spans="1:4" x14ac:dyDescent="0.25">
      <c r="A1796" s="4"/>
      <c r="B1796" s="5"/>
      <c r="C1796" s="5"/>
      <c r="D1796" s="5"/>
    </row>
    <row r="1797" spans="1:4" x14ac:dyDescent="0.25">
      <c r="A1797" s="4"/>
      <c r="B1797" s="5"/>
      <c r="C1797" s="5"/>
      <c r="D1797" s="5"/>
    </row>
    <row r="1798" spans="1:4" x14ac:dyDescent="0.25">
      <c r="A1798" s="4"/>
      <c r="B1798" s="5"/>
      <c r="C1798" s="5"/>
      <c r="D1798" s="5"/>
    </row>
    <row r="1799" spans="1:4" x14ac:dyDescent="0.25">
      <c r="A1799" s="4"/>
      <c r="B1799" s="5"/>
      <c r="C1799" s="5"/>
      <c r="D1799" s="5"/>
    </row>
    <row r="1800" spans="1:4" x14ac:dyDescent="0.25">
      <c r="A1800" s="4"/>
      <c r="B1800" s="5"/>
      <c r="C1800" s="5"/>
      <c r="D1800" s="5"/>
    </row>
    <row r="1801" spans="1:4" x14ac:dyDescent="0.25">
      <c r="A1801" s="4"/>
      <c r="B1801" s="5"/>
      <c r="C1801" s="5"/>
      <c r="D1801" s="5"/>
    </row>
    <row r="1802" spans="1:4" x14ac:dyDescent="0.25">
      <c r="A1802" s="4"/>
      <c r="B1802" s="5"/>
      <c r="C1802" s="5"/>
      <c r="D1802" s="5"/>
    </row>
    <row r="1803" spans="1:4" x14ac:dyDescent="0.25">
      <c r="A1803" s="4"/>
      <c r="B1803" s="5"/>
      <c r="C1803" s="5"/>
      <c r="D1803" s="5"/>
    </row>
    <row r="1804" spans="1:4" x14ac:dyDescent="0.25">
      <c r="A1804" s="4"/>
      <c r="B1804" s="5"/>
      <c r="C1804" s="5"/>
      <c r="D1804" s="5"/>
    </row>
    <row r="1805" spans="1:4" x14ac:dyDescent="0.25">
      <c r="A1805" s="4"/>
      <c r="B1805" s="5"/>
      <c r="C1805" s="5"/>
      <c r="D1805" s="5"/>
    </row>
    <row r="1806" spans="1:4" x14ac:dyDescent="0.25">
      <c r="A1806" s="4"/>
      <c r="B1806" s="5"/>
      <c r="C1806" s="5"/>
      <c r="D1806" s="5"/>
    </row>
    <row r="1807" spans="1:4" x14ac:dyDescent="0.25">
      <c r="A1807" s="4"/>
      <c r="B1807" s="5"/>
      <c r="C1807" s="5"/>
      <c r="D1807" s="5"/>
    </row>
    <row r="1808" spans="1:4" x14ac:dyDescent="0.25">
      <c r="A1808" s="4"/>
      <c r="B1808" s="5"/>
      <c r="C1808" s="5"/>
      <c r="D1808" s="5"/>
    </row>
    <row r="1809" spans="1:4" x14ac:dyDescent="0.25">
      <c r="A1809" s="4"/>
      <c r="B1809" s="5"/>
      <c r="C1809" s="5"/>
      <c r="D1809" s="5"/>
    </row>
    <row r="1810" spans="1:4" x14ac:dyDescent="0.25">
      <c r="A1810" s="4"/>
      <c r="B1810" s="5"/>
      <c r="C1810" s="5"/>
      <c r="D1810" s="5"/>
    </row>
    <row r="1811" spans="1:4" x14ac:dyDescent="0.25">
      <c r="A1811" s="4"/>
      <c r="B1811" s="5"/>
      <c r="C1811" s="5"/>
      <c r="D1811" s="5"/>
    </row>
    <row r="1812" spans="1:4" x14ac:dyDescent="0.25">
      <c r="A1812" s="4"/>
      <c r="B1812" s="5"/>
      <c r="C1812" s="5"/>
      <c r="D1812" s="5"/>
    </row>
    <row r="1813" spans="1:4" x14ac:dyDescent="0.25">
      <c r="A1813" s="4"/>
      <c r="B1813" s="5"/>
      <c r="C1813" s="5"/>
      <c r="D1813" s="5"/>
    </row>
    <row r="1814" spans="1:4" x14ac:dyDescent="0.25">
      <c r="A1814" s="4"/>
      <c r="B1814" s="5"/>
      <c r="C1814" s="5"/>
      <c r="D1814" s="5"/>
    </row>
    <row r="1815" spans="1:4" x14ac:dyDescent="0.25">
      <c r="A1815" s="4"/>
      <c r="B1815" s="5"/>
      <c r="C1815" s="5"/>
      <c r="D1815" s="5"/>
    </row>
    <row r="1816" spans="1:4" x14ac:dyDescent="0.25">
      <c r="A1816" s="4"/>
      <c r="B1816" s="5"/>
      <c r="C1816" s="5"/>
      <c r="D1816" s="5"/>
    </row>
    <row r="1817" spans="1:4" x14ac:dyDescent="0.25">
      <c r="A1817" s="4"/>
      <c r="B1817" s="5"/>
      <c r="C1817" s="5"/>
      <c r="D1817" s="5"/>
    </row>
    <row r="1818" spans="1:4" x14ac:dyDescent="0.25">
      <c r="A1818" s="4"/>
      <c r="B1818" s="5"/>
      <c r="C1818" s="5"/>
      <c r="D1818" s="5"/>
    </row>
    <row r="1819" spans="1:4" x14ac:dyDescent="0.25">
      <c r="A1819" s="4"/>
      <c r="B1819" s="5"/>
      <c r="C1819" s="5"/>
      <c r="D1819" s="5"/>
    </row>
    <row r="1820" spans="1:4" x14ac:dyDescent="0.25">
      <c r="A1820" s="4"/>
      <c r="B1820" s="5"/>
      <c r="C1820" s="5"/>
      <c r="D1820" s="5"/>
    </row>
    <row r="1821" spans="1:4" x14ac:dyDescent="0.25">
      <c r="A1821" s="4"/>
      <c r="B1821" s="5"/>
      <c r="C1821" s="5"/>
      <c r="D1821" s="5"/>
    </row>
    <row r="1822" spans="1:4" x14ac:dyDescent="0.25">
      <c r="A1822" s="4"/>
      <c r="B1822" s="5"/>
      <c r="C1822" s="5"/>
      <c r="D1822" s="5"/>
    </row>
    <row r="1823" spans="1:4" x14ac:dyDescent="0.25">
      <c r="A1823" s="4"/>
      <c r="B1823" s="5"/>
      <c r="C1823" s="5"/>
      <c r="D1823" s="5"/>
    </row>
    <row r="1824" spans="1:4" x14ac:dyDescent="0.25">
      <c r="A1824" s="4"/>
      <c r="B1824" s="5"/>
      <c r="C1824" s="5"/>
      <c r="D1824" s="5"/>
    </row>
    <row r="1825" spans="1:4" x14ac:dyDescent="0.25">
      <c r="A1825" s="4"/>
      <c r="B1825" s="5"/>
      <c r="C1825" s="5"/>
      <c r="D1825" s="5"/>
    </row>
    <row r="1826" spans="1:4" x14ac:dyDescent="0.25">
      <c r="A1826" s="4"/>
      <c r="B1826" s="5"/>
      <c r="C1826" s="5"/>
      <c r="D1826" s="5"/>
    </row>
    <row r="1827" spans="1:4" x14ac:dyDescent="0.25">
      <c r="A1827" s="4"/>
      <c r="B1827" s="5"/>
      <c r="C1827" s="5"/>
      <c r="D1827" s="5"/>
    </row>
    <row r="1828" spans="1:4" x14ac:dyDescent="0.25">
      <c r="A1828" s="4"/>
      <c r="B1828" s="5"/>
      <c r="C1828" s="5"/>
      <c r="D1828" s="5"/>
    </row>
    <row r="1829" spans="1:4" x14ac:dyDescent="0.25">
      <c r="A1829" s="4"/>
      <c r="B1829" s="5"/>
      <c r="C1829" s="5"/>
      <c r="D1829" s="5"/>
    </row>
    <row r="1830" spans="1:4" x14ac:dyDescent="0.25">
      <c r="A1830" s="4"/>
      <c r="B1830" s="5"/>
      <c r="C1830" s="5"/>
      <c r="D1830" s="5"/>
    </row>
    <row r="1831" spans="1:4" x14ac:dyDescent="0.25">
      <c r="A1831" s="4"/>
      <c r="B1831" s="5"/>
      <c r="C1831" s="5"/>
      <c r="D1831" s="5"/>
    </row>
    <row r="1832" spans="1:4" x14ac:dyDescent="0.25">
      <c r="A1832" s="4"/>
      <c r="B1832" s="5"/>
      <c r="C1832" s="5"/>
      <c r="D1832" s="5"/>
    </row>
    <row r="1833" spans="1:4" x14ac:dyDescent="0.25">
      <c r="A1833" s="4"/>
      <c r="B1833" s="5"/>
      <c r="C1833" s="5"/>
      <c r="D1833" s="5"/>
    </row>
    <row r="1834" spans="1:4" x14ac:dyDescent="0.25">
      <c r="A1834" s="4"/>
      <c r="B1834" s="5"/>
      <c r="C1834" s="5"/>
      <c r="D1834" s="5"/>
    </row>
    <row r="1835" spans="1:4" x14ac:dyDescent="0.25">
      <c r="A1835" s="4"/>
      <c r="B1835" s="5"/>
      <c r="C1835" s="5"/>
      <c r="D1835" s="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rCaso">
                <anchor moveWithCells="1" sizeWithCells="1">
                  <from>
                    <xdr:col>6</xdr:col>
                    <xdr:colOff>0</xdr:colOff>
                    <xdr:row>2</xdr:row>
                    <xdr:rowOff>161925</xdr:rowOff>
                  </from>
                  <to>
                    <xdr:col>7</xdr:col>
                    <xdr:colOff>514350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imulaTriangular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523875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Simulador</vt:lpstr>
    </vt:vector>
  </TitlesOfParts>
  <Company>Klabin S/A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Satoru Gunzi</dc:creator>
  <cp:lastModifiedBy>Arnaldo Satoru Gunzi</cp:lastModifiedBy>
  <dcterms:created xsi:type="dcterms:W3CDTF">2016-02-24T22:20:26Z</dcterms:created>
  <dcterms:modified xsi:type="dcterms:W3CDTF">2016-02-25T10:52:13Z</dcterms:modified>
</cp:coreProperties>
</file>